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 Stats" sheetId="1" r:id="rId3"/>
    <sheet state="visible" name="FatOxRate" sheetId="2" r:id="rId4"/>
    <sheet state="visible" name="Bloodwork" sheetId="3" r:id="rId5"/>
    <sheet state="visible" name="To-Do" sheetId="4" r:id="rId6"/>
    <sheet state="visible" name="Workout Volume" sheetId="5" r:id="rId7"/>
  </sheets>
  <definedNames/>
  <calcPr/>
</workbook>
</file>

<file path=xl/sharedStrings.xml><?xml version="1.0" encoding="utf-8"?>
<sst xmlns="http://schemas.openxmlformats.org/spreadsheetml/2006/main" count="200" uniqueCount="164">
  <si>
    <t>Variable Measurements</t>
  </si>
  <si>
    <t>Greek Ideal</t>
  </si>
  <si>
    <t>Goal</t>
  </si>
  <si>
    <t>August 3, 2015</t>
  </si>
  <si>
    <t>Sept 2024</t>
  </si>
  <si>
    <t>Deviation</t>
  </si>
  <si>
    <t>Arms</t>
  </si>
  <si>
    <t>Forearms</t>
  </si>
  <si>
    <t>Thighs</t>
  </si>
  <si>
    <t>Calves</t>
  </si>
  <si>
    <t>Shoulders</t>
  </si>
  <si>
    <t>Neck</t>
  </si>
  <si>
    <t>Chest</t>
  </si>
  <si>
    <t>Waist</t>
  </si>
  <si>
    <t>Bodyfat</t>
  </si>
  <si>
    <t>Ratios</t>
  </si>
  <si>
    <t>Constant Measurements</t>
  </si>
  <si>
    <t>Head</t>
  </si>
  <si>
    <t>Wrist</t>
  </si>
  <si>
    <t>Pelvis</t>
  </si>
  <si>
    <t>Knee</t>
  </si>
  <si>
    <t>Shoulers</t>
  </si>
  <si>
    <t>Ankle</t>
  </si>
  <si>
    <t>31 cal</t>
  </si>
  <si>
    <t>per lb</t>
  </si>
  <si>
    <t>per day</t>
  </si>
  <si>
    <t>exercise incl</t>
  </si>
  <si>
    <t>budget for the day</t>
  </si>
  <si>
    <t>eaten</t>
  </si>
  <si>
    <t>Weight</t>
  </si>
  <si>
    <t>bf</t>
  </si>
  <si>
    <t>Lean mass</t>
  </si>
  <si>
    <t>kcal/lb</t>
  </si>
  <si>
    <t>bf %</t>
  </si>
  <si>
    <t>Total</t>
  </si>
  <si>
    <t>Adipose</t>
  </si>
  <si>
    <t>kcal deficit initial</t>
  </si>
  <si>
    <t>day</t>
  </si>
  <si>
    <t>Maintenance Mifflin</t>
  </si>
  <si>
    <t>Budget</t>
  </si>
  <si>
    <t>Bodyweight</t>
  </si>
  <si>
    <t>DEXA fat %</t>
  </si>
  <si>
    <t>DEXA Visceral</t>
  </si>
  <si>
    <t>Iron</t>
  </si>
  <si>
    <t>ug/dL</t>
  </si>
  <si>
    <t>TIBC</t>
  </si>
  <si>
    <t>Ferritin</t>
  </si>
  <si>
    <t>ng/ml</t>
  </si>
  <si>
    <t>Lipid Profile</t>
  </si>
  <si>
    <t>Total LDL Particles LDL-P</t>
  </si>
  <si>
    <t>nmol/l</t>
  </si>
  <si>
    <t>Target &lt;700</t>
  </si>
  <si>
    <t>Non HDL</t>
  </si>
  <si>
    <t>Target &lt;1000</t>
  </si>
  <si>
    <t>Remnant Lipoprotein</t>
  </si>
  <si>
    <t>Target &lt;100</t>
  </si>
  <si>
    <t>Dense LDL III</t>
  </si>
  <si>
    <t>Dense LDL IV</t>
  </si>
  <si>
    <t>Total HDL</t>
  </si>
  <si>
    <t>Can increase, but OK</t>
  </si>
  <si>
    <t>Buoyant HDL 2b</t>
  </si>
  <si>
    <t>Total Cholesterol</t>
  </si>
  <si>
    <t>mg/dL</t>
  </si>
  <si>
    <t>Triglycerides</t>
  </si>
  <si>
    <t>HDL</t>
  </si>
  <si>
    <t>Can increase but OK.</t>
  </si>
  <si>
    <t>LDLc</t>
  </si>
  <si>
    <t>Elevated, less important than LDL</t>
  </si>
  <si>
    <t>Non HDL Cholesterol</t>
  </si>
  <si>
    <t>Insulin</t>
  </si>
  <si>
    <t>uIU/ml</t>
  </si>
  <si>
    <t>hs-CRP</t>
  </si>
  <si>
    <t>mg/L</t>
  </si>
  <si>
    <t>Lp(a)</t>
  </si>
  <si>
    <t>nmol/L</t>
  </si>
  <si>
    <t>Apo(b)</t>
  </si>
  <si>
    <t>Target &lt;60</t>
  </si>
  <si>
    <t>Apo(A1)</t>
  </si>
  <si>
    <t>Homocysteine</t>
  </si>
  <si>
    <t>umol/L</t>
  </si>
  <si>
    <t>VLDL</t>
  </si>
  <si>
    <t>Metabolic Profile</t>
  </si>
  <si>
    <t>Glucose</t>
  </si>
  <si>
    <t>BUN</t>
  </si>
  <si>
    <t>Creatinine</t>
  </si>
  <si>
    <t>BUN/Creatinine Ratio</t>
  </si>
  <si>
    <t>eGFR</t>
  </si>
  <si>
    <t>Sodium</t>
  </si>
  <si>
    <t>Potassium</t>
  </si>
  <si>
    <t>Chloride</t>
  </si>
  <si>
    <t>CO2</t>
  </si>
  <si>
    <t>Calcium</t>
  </si>
  <si>
    <t>Total Protein</t>
  </si>
  <si>
    <t>Albumin</t>
  </si>
  <si>
    <t>Globulin</t>
  </si>
  <si>
    <t>A/G Ratio</t>
  </si>
  <si>
    <t>Total Bilirubin</t>
  </si>
  <si>
    <t>Alkaline Phosphatase</t>
  </si>
  <si>
    <t>AST</t>
  </si>
  <si>
    <t>ALT (SGPT)</t>
  </si>
  <si>
    <t>Urine Profile</t>
  </si>
  <si>
    <t>Spec Grav Urine</t>
  </si>
  <si>
    <t>&gt;=1.030</t>
  </si>
  <si>
    <t>pH Urine</t>
  </si>
  <si>
    <t>Leukocytes</t>
  </si>
  <si>
    <t>Negative</t>
  </si>
  <si>
    <t>Protein UA</t>
  </si>
  <si>
    <t>Glucose Urine</t>
  </si>
  <si>
    <t>NEGATIVE</t>
  </si>
  <si>
    <t>Ketones</t>
  </si>
  <si>
    <t>Occult Blood UA</t>
  </si>
  <si>
    <t>Bilirubin UA</t>
  </si>
  <si>
    <t>Urobilinogen UA</t>
  </si>
  <si>
    <t>Nitrite Urine QUant</t>
  </si>
  <si>
    <t>MPV</t>
  </si>
  <si>
    <t>fL</t>
  </si>
  <si>
    <t>Blood profile</t>
  </si>
  <si>
    <t>Auto WBC</t>
  </si>
  <si>
    <t>k/mm3</t>
  </si>
  <si>
    <t>Hemoglobin</t>
  </si>
  <si>
    <t>g/dL</t>
  </si>
  <si>
    <t>RBC</t>
  </si>
  <si>
    <t>Hematocrit</t>
  </si>
  <si>
    <t>%</t>
  </si>
  <si>
    <t>MCV</t>
  </si>
  <si>
    <t>MCHC</t>
  </si>
  <si>
    <t>MCH</t>
  </si>
  <si>
    <t>RDW</t>
  </si>
  <si>
    <t>Platelets</t>
  </si>
  <si>
    <t>x10E3/uL</t>
  </si>
  <si>
    <t>Lymphocytes Relative</t>
  </si>
  <si>
    <t>Eosinophils Relative</t>
  </si>
  <si>
    <t>Neutrophils Absolute</t>
  </si>
  <si>
    <t>Monocytes Absolute</t>
  </si>
  <si>
    <t>Basophils Absolute</t>
  </si>
  <si>
    <t>Immature Grans Absolute</t>
  </si>
  <si>
    <t>Neutrophils Relative</t>
  </si>
  <si>
    <t>Monocytes Relative</t>
  </si>
  <si>
    <t>Basophils Relative</t>
  </si>
  <si>
    <t>Lymphocytes Absolute</t>
  </si>
  <si>
    <t>Eosinophils Absolute</t>
  </si>
  <si>
    <t>Immature Granulocytes</t>
  </si>
  <si>
    <t xml:space="preserve">Lipid profile, </t>
  </si>
  <si>
    <t>Get baseline CAC, CBC, CMP, TSH, vitamin</t>
  </si>
  <si>
    <t>Ask insurance if CPT 75571 covered for preventative risk assessment</t>
  </si>
  <si>
    <t>Elevated ApoB</t>
  </si>
  <si>
    <t>CAC</t>
  </si>
  <si>
    <t>Colorectal cancer screening</t>
  </si>
  <si>
    <t>Madcow Program</t>
  </si>
  <si>
    <t>Reps</t>
  </si>
  <si>
    <t>Volume</t>
  </si>
  <si>
    <t>A</t>
  </si>
  <si>
    <t>Squat</t>
  </si>
  <si>
    <t>Bench</t>
  </si>
  <si>
    <t>Row</t>
  </si>
  <si>
    <t>OHP</t>
  </si>
  <si>
    <t>Dead</t>
  </si>
  <si>
    <t>B</t>
  </si>
  <si>
    <t>Squad</t>
  </si>
  <si>
    <t>C</t>
  </si>
  <si>
    <t>GPT Routine</t>
  </si>
  <si>
    <t>Deads</t>
  </si>
  <si>
    <t>Slams</t>
  </si>
  <si>
    <t>Pull-Ups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</si>
</sst>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d, yyyy"/>
    <numFmt numFmtId="165" formatCode="mmmm yyyy"/>
    <numFmt numFmtId="166" formatCode="0.0"/>
    <numFmt numFmtId="167" formatCode="mm/dd/yyyy"/>
    <numFmt numFmtId="168" formatCode="mm/dd"/>
    <numFmt numFmtId="169" formatCode="m/d/yyyy"/>
    <numFmt numFmtId="170" formatCode="m/d"/>
  </numFmts>
  <fonts count="9">
    <font>
      <sz val="10.0"/>
      <color rgb="FF000000"/>
      <name val="Arial"/>
    </font>
    <font>
      <b/>
    </font>
    <font/>
    <font>
      <sz val="9.0"/>
      <color rgb="FF1155CC"/>
      <name val="&quot;Google Sans Mono&quot;"/>
    </font>
    <font>
      <sz val="11.0"/>
      <color rgb="FF131313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1" numFmtId="49" xfId="0" applyAlignment="1" applyBorder="1" applyFill="1" applyFont="1" applyNumberForma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2" numFmtId="165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0" fontId="2" numFmtId="166" xfId="0" applyAlignment="1" applyBorder="1" applyFont="1" applyNumberFormat="1">
      <alignment horizontal="left" shrinkToFit="0" vertical="top" wrapText="1"/>
    </xf>
    <xf borderId="1" fillId="0" fontId="2" numFmtId="166" xfId="0" applyAlignment="1" applyBorder="1" applyFont="1" applyNumberFormat="1">
      <alignment horizontal="left" readingOrder="0" shrinkToFit="0" vertical="top" wrapText="1"/>
    </xf>
    <xf borderId="0" fillId="0" fontId="2" numFmtId="166" xfId="0" applyAlignment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/>
    </xf>
    <xf borderId="1" fillId="4" fontId="2" numFmtId="9" xfId="0" applyAlignment="1" applyBorder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4" fontId="2" numFmtId="9" xfId="0" applyAlignment="1" applyFont="1" applyNumberFormat="1">
      <alignment horizontal="left" readingOrder="0" shrinkToFit="0" vertical="top" wrapText="1"/>
    </xf>
    <xf borderId="0" fillId="0" fontId="2" numFmtId="166" xfId="0" applyAlignment="1" applyFont="1" applyNumberFormat="1">
      <alignment horizontal="left" shrinkToFit="0" vertical="top" wrapText="1"/>
    </xf>
    <xf borderId="1" fillId="5" fontId="1" numFmtId="0" xfId="0" applyAlignment="1" applyBorder="1" applyFill="1" applyFont="1">
      <alignment horizontal="left" readingOrder="0"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6" xfId="0" applyFont="1" applyNumberFormat="1"/>
    <xf borderId="0" fillId="0" fontId="1" numFmtId="2" xfId="0" applyFont="1" applyNumberFormat="1"/>
    <xf borderId="0" fillId="0" fontId="1" numFmtId="166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6" fontId="3" numFmtId="0" xfId="0" applyFill="1" applyFont="1"/>
    <xf borderId="0" fillId="0" fontId="2" numFmtId="169" xfId="0" applyAlignment="1" applyFont="1" applyNumberForma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7" fontId="1" numFmtId="167" xfId="0" applyAlignment="1" applyFill="1" applyFont="1" applyNumberFormat="1">
      <alignment horizontal="left" readingOrder="0"/>
    </xf>
    <xf borderId="2" fillId="0" fontId="1" numFmtId="167" xfId="0" applyAlignment="1" applyBorder="1" applyFont="1" applyNumberFormat="1">
      <alignment horizontal="left" readingOrder="0"/>
    </xf>
    <xf borderId="3" fillId="7" fontId="2" numFmtId="167" xfId="0" applyAlignment="1" applyBorder="1" applyFont="1" applyNumberFormat="1">
      <alignment horizontal="left" readingOrder="0"/>
    </xf>
    <xf borderId="0" fillId="0" fontId="2" numFmtId="167" xfId="0" applyAlignment="1" applyFont="1" applyNumberFormat="1">
      <alignment horizontal="center" readingOrder="0"/>
    </xf>
    <xf borderId="0" fillId="7" fontId="2" numFmtId="169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left" readingOrder="0"/>
    </xf>
    <xf borderId="0" fillId="7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4" fillId="7" fontId="1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Font="1"/>
    <xf borderId="4" fillId="7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Border="1" applyFont="1"/>
    <xf borderId="4" fillId="7" fontId="2" numFmtId="0" xfId="0" applyBorder="1" applyFont="1"/>
    <xf borderId="0" fillId="0" fontId="4" numFmtId="0" xfId="0" applyAlignment="1" applyFont="1">
      <alignment readingOrder="0"/>
    </xf>
    <xf borderId="0" fillId="7" fontId="2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7" fontId="6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7" fontId="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7" fontId="8" numFmtId="0" xfId="0" applyAlignment="1" applyFont="1">
      <alignment horizontal="right" readingOrder="0" shrinkToFit="0" vertical="bottom" wrapText="0"/>
    </xf>
    <xf borderId="4" fillId="0" fontId="8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7" fontId="2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7.13"/>
    <col customWidth="1" min="3" max="3" width="9.88"/>
    <col customWidth="1" min="4" max="4" width="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>
        <v>44329.0</v>
      </c>
      <c r="F1" s="4">
        <v>44593.0</v>
      </c>
      <c r="G1" s="5" t="s">
        <v>4</v>
      </c>
      <c r="H1" s="4">
        <v>45717.0</v>
      </c>
      <c r="I1" s="5" t="s">
        <v>5</v>
      </c>
    </row>
    <row r="2">
      <c r="A2" s="5" t="s">
        <v>6</v>
      </c>
      <c r="B2" s="6">
        <v>15.2</v>
      </c>
      <c r="C2" s="6">
        <v>16.4</v>
      </c>
      <c r="D2" s="5">
        <v>13.0</v>
      </c>
      <c r="E2" s="7"/>
      <c r="F2" s="8">
        <v>14.5</v>
      </c>
      <c r="G2" s="9">
        <v>14.5</v>
      </c>
      <c r="H2" s="9">
        <v>14.25</v>
      </c>
      <c r="I2" s="7">
        <f>F2-C2</f>
        <v>-1.9</v>
      </c>
    </row>
    <row r="3">
      <c r="A3" s="5" t="s">
        <v>7</v>
      </c>
      <c r="B3" s="6">
        <v>12.3</v>
      </c>
      <c r="C3" s="6">
        <v>13.3</v>
      </c>
      <c r="D3" s="5">
        <v>11.25</v>
      </c>
      <c r="E3" s="7"/>
      <c r="F3" s="8">
        <v>12.5</v>
      </c>
      <c r="G3" s="9">
        <v>12.5</v>
      </c>
      <c r="H3" s="9">
        <v>12.5</v>
      </c>
      <c r="I3" s="7">
        <f>F3-I18</f>
        <v>12.5</v>
      </c>
    </row>
    <row r="4">
      <c r="A4" s="5" t="s">
        <v>8</v>
      </c>
      <c r="B4" s="6">
        <v>22.4</v>
      </c>
      <c r="C4" s="6">
        <v>24.2</v>
      </c>
      <c r="D4" s="5">
        <v>22.0</v>
      </c>
      <c r="E4" s="8">
        <v>23.5</v>
      </c>
      <c r="F4" s="10">
        <v>25.0</v>
      </c>
      <c r="G4" s="9">
        <v>25.0</v>
      </c>
      <c r="H4" s="9">
        <v>24.0</v>
      </c>
      <c r="I4" s="7">
        <f t="shared" ref="I4:I9" si="1">F4-C4</f>
        <v>0.8</v>
      </c>
    </row>
    <row r="5">
      <c r="A5" s="5" t="s">
        <v>9</v>
      </c>
      <c r="B5" s="6">
        <v>14.4</v>
      </c>
      <c r="C5" s="6">
        <v>15.6</v>
      </c>
      <c r="D5" s="5">
        <v>15.0</v>
      </c>
      <c r="E5" s="8">
        <v>15.0</v>
      </c>
      <c r="F5" s="10">
        <v>15.0</v>
      </c>
      <c r="G5" s="9">
        <v>15.5</v>
      </c>
      <c r="H5" s="9">
        <v>15.5</v>
      </c>
      <c r="I5" s="7">
        <f t="shared" si="1"/>
        <v>-0.6</v>
      </c>
    </row>
    <row r="6">
      <c r="A6" s="5" t="s">
        <v>10</v>
      </c>
      <c r="B6" s="6">
        <v>47.9</v>
      </c>
      <c r="C6" s="6">
        <v>51.8</v>
      </c>
      <c r="D6" s="5">
        <v>47.5</v>
      </c>
      <c r="E6" s="7"/>
      <c r="F6" s="8">
        <v>50.0</v>
      </c>
      <c r="G6" s="9">
        <v>50.5</v>
      </c>
      <c r="H6" s="9">
        <v>51.0</v>
      </c>
      <c r="I6" s="7">
        <f t="shared" si="1"/>
        <v>-1.8</v>
      </c>
    </row>
    <row r="7">
      <c r="A7" s="5" t="s">
        <v>11</v>
      </c>
      <c r="B7" s="6">
        <v>15.6</v>
      </c>
      <c r="C7" s="6">
        <v>16.9</v>
      </c>
      <c r="D7" s="5">
        <v>15.0</v>
      </c>
      <c r="E7" s="7"/>
      <c r="F7" s="8">
        <v>17.0</v>
      </c>
      <c r="G7" s="9">
        <v>16.5</v>
      </c>
      <c r="H7" s="9">
        <v>16.5</v>
      </c>
      <c r="I7" s="7">
        <f t="shared" si="1"/>
        <v>0.1</v>
      </c>
    </row>
    <row r="8">
      <c r="A8" s="5" t="s">
        <v>12</v>
      </c>
      <c r="B8" s="6">
        <v>42.3</v>
      </c>
      <c r="C8" s="6">
        <v>45.7</v>
      </c>
      <c r="D8" s="5">
        <v>42.5</v>
      </c>
      <c r="E8" s="7"/>
      <c r="F8" s="8">
        <v>45.5</v>
      </c>
      <c r="G8" s="9">
        <v>44.0</v>
      </c>
      <c r="H8" s="9">
        <v>45.5</v>
      </c>
      <c r="I8" s="7">
        <f t="shared" si="1"/>
        <v>-0.2</v>
      </c>
    </row>
    <row r="9">
      <c r="A9" s="5" t="s">
        <v>13</v>
      </c>
      <c r="B9" s="6">
        <v>29.6</v>
      </c>
      <c r="C9" s="6">
        <v>32.0</v>
      </c>
      <c r="D9" s="5">
        <v>34.0</v>
      </c>
      <c r="E9" s="8">
        <v>35.0</v>
      </c>
      <c r="F9" s="8">
        <v>34.0</v>
      </c>
      <c r="G9" s="9">
        <v>38.0</v>
      </c>
      <c r="H9" s="9">
        <v>38.0</v>
      </c>
      <c r="I9" s="7">
        <f t="shared" si="1"/>
        <v>2</v>
      </c>
    </row>
    <row r="10">
      <c r="A10" s="5" t="s">
        <v>14</v>
      </c>
      <c r="B10" s="11"/>
      <c r="C10" s="11"/>
      <c r="D10" s="5"/>
      <c r="E10" s="7"/>
      <c r="F10" s="8">
        <v>24.0</v>
      </c>
      <c r="G10" s="7"/>
      <c r="H10" s="7"/>
      <c r="I10" s="7"/>
    </row>
    <row r="11">
      <c r="A11" s="12"/>
      <c r="B11" s="13"/>
      <c r="C11" s="13"/>
      <c r="D11" s="12" t="s">
        <v>15</v>
      </c>
      <c r="E11" s="14"/>
      <c r="F11" s="14"/>
      <c r="G11" s="14"/>
      <c r="H11" s="14"/>
      <c r="I11" s="14"/>
    </row>
    <row r="12">
      <c r="A12" s="15" t="s">
        <v>16</v>
      </c>
      <c r="B12" s="15"/>
      <c r="C12" s="16" t="s">
        <v>6</v>
      </c>
      <c r="D12" s="12">
        <f>B2/B9</f>
        <v>0.5135135135</v>
      </c>
      <c r="E12" s="14">
        <f t="shared" ref="E12:E18" si="2">D12*32</f>
        <v>16.43243243</v>
      </c>
      <c r="G12" s="14"/>
      <c r="H12" s="14"/>
      <c r="I12" s="14"/>
    </row>
    <row r="13">
      <c r="A13" s="6" t="s">
        <v>17</v>
      </c>
      <c r="B13" s="6">
        <v>22.0</v>
      </c>
      <c r="C13" s="16" t="s">
        <v>7</v>
      </c>
      <c r="D13" s="12">
        <f>B3/B9</f>
        <v>0.4155405405</v>
      </c>
      <c r="E13" s="14">
        <f t="shared" si="2"/>
        <v>13.2972973</v>
      </c>
      <c r="G13" s="14"/>
      <c r="H13" s="14"/>
      <c r="I13" s="14"/>
    </row>
    <row r="14">
      <c r="A14" s="6" t="s">
        <v>18</v>
      </c>
      <c r="B14" s="6">
        <v>6.5</v>
      </c>
      <c r="C14" s="16" t="s">
        <v>8</v>
      </c>
      <c r="D14" s="12">
        <f>B4/B9</f>
        <v>0.7567567568</v>
      </c>
      <c r="E14" s="14">
        <f t="shared" si="2"/>
        <v>24.21621622</v>
      </c>
      <c r="G14" s="14"/>
      <c r="H14" s="14"/>
      <c r="I14" s="14"/>
    </row>
    <row r="15">
      <c r="A15" s="6" t="s">
        <v>19</v>
      </c>
      <c r="B15" s="6">
        <v>33.0</v>
      </c>
      <c r="C15" s="16" t="s">
        <v>9</v>
      </c>
      <c r="D15" s="12">
        <f>B5/B9</f>
        <v>0.4864864865</v>
      </c>
      <c r="E15" s="14">
        <f t="shared" si="2"/>
        <v>15.56756757</v>
      </c>
      <c r="G15" s="14"/>
      <c r="H15" s="14"/>
      <c r="I15" s="14"/>
    </row>
    <row r="16">
      <c r="A16" s="6" t="s">
        <v>20</v>
      </c>
      <c r="B16" s="6">
        <v>15.0</v>
      </c>
      <c r="C16" s="16" t="s">
        <v>21</v>
      </c>
      <c r="D16" s="12">
        <f>B6/B9</f>
        <v>1.618243243</v>
      </c>
      <c r="E16" s="14">
        <f t="shared" si="2"/>
        <v>51.78378378</v>
      </c>
      <c r="G16" s="14"/>
      <c r="H16" s="14"/>
      <c r="I16" s="14"/>
    </row>
    <row r="17">
      <c r="A17" s="6" t="s">
        <v>22</v>
      </c>
      <c r="B17" s="6">
        <v>10.25</v>
      </c>
      <c r="C17" s="16" t="s">
        <v>11</v>
      </c>
      <c r="D17" s="12">
        <f>B7/B9</f>
        <v>0.527027027</v>
      </c>
      <c r="E17" s="14">
        <f t="shared" si="2"/>
        <v>16.86486486</v>
      </c>
      <c r="G17" s="14"/>
      <c r="H17" s="14"/>
      <c r="I17" s="14"/>
    </row>
    <row r="18">
      <c r="A18" s="16"/>
      <c r="B18" s="16"/>
      <c r="C18" s="16" t="s">
        <v>12</v>
      </c>
      <c r="D18" s="12">
        <f>B8/B9</f>
        <v>1.429054054</v>
      </c>
      <c r="E18" s="14">
        <f t="shared" si="2"/>
        <v>45.72972973</v>
      </c>
      <c r="G18" s="14"/>
      <c r="H18" s="14"/>
      <c r="I18" s="14"/>
    </row>
    <row r="19">
      <c r="A19" s="16"/>
      <c r="B19" s="16"/>
      <c r="C19" s="16"/>
      <c r="D19" s="12"/>
      <c r="E19" s="14"/>
      <c r="G19" s="14"/>
      <c r="H19" s="14"/>
      <c r="I19" s="14"/>
    </row>
    <row r="20">
      <c r="A20" s="16"/>
      <c r="B20" s="16"/>
      <c r="C20" s="16"/>
      <c r="D20" s="12"/>
      <c r="E20" s="14"/>
      <c r="F20" s="14"/>
      <c r="G20" s="14"/>
      <c r="H20" s="14"/>
      <c r="I2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6" max="6" width="15.38"/>
  </cols>
  <sheetData>
    <row r="1">
      <c r="A1" s="17" t="s">
        <v>23</v>
      </c>
      <c r="B1" s="17" t="s">
        <v>24</v>
      </c>
      <c r="C1" s="17" t="s">
        <v>25</v>
      </c>
    </row>
    <row r="4">
      <c r="E4" s="17" t="s">
        <v>26</v>
      </c>
      <c r="F4" s="17" t="s">
        <v>27</v>
      </c>
      <c r="G4" s="17" t="s">
        <v>28</v>
      </c>
    </row>
    <row r="5">
      <c r="A5" s="17" t="s">
        <v>29</v>
      </c>
      <c r="B5" s="18">
        <v>202.4</v>
      </c>
      <c r="E5">
        <f>2264+261</f>
        <v>2525</v>
      </c>
      <c r="F5">
        <f>E5-1353</f>
        <v>1172</v>
      </c>
      <c r="G5" s="17">
        <v>762.0</v>
      </c>
      <c r="H5">
        <f>F5-G5</f>
        <v>410</v>
      </c>
    </row>
    <row r="6">
      <c r="A6" s="17" t="s">
        <v>30</v>
      </c>
      <c r="B6" s="19">
        <v>0.24</v>
      </c>
    </row>
    <row r="8">
      <c r="A8" s="17" t="s">
        <v>31</v>
      </c>
      <c r="B8" s="20">
        <f>B5*(1-B6)</f>
        <v>153.824</v>
      </c>
    </row>
    <row r="9">
      <c r="A9" s="17" t="s">
        <v>32</v>
      </c>
      <c r="B9" s="17">
        <v>3500.0</v>
      </c>
    </row>
    <row r="14">
      <c r="A14" s="17" t="s">
        <v>33</v>
      </c>
      <c r="B14" s="17" t="s">
        <v>34</v>
      </c>
      <c r="C14" s="17" t="s">
        <v>35</v>
      </c>
      <c r="D14" s="17" t="s">
        <v>36</v>
      </c>
      <c r="E14" s="17" t="s">
        <v>37</v>
      </c>
      <c r="F14" s="17" t="s">
        <v>38</v>
      </c>
      <c r="G14" s="17" t="s">
        <v>39</v>
      </c>
    </row>
    <row r="15">
      <c r="A15" s="21">
        <f t="shared" ref="A15:A138" si="1">C15/B15</f>
        <v>0.2046328852</v>
      </c>
      <c r="B15" s="22">
        <f t="shared" ref="B15:B138" si="2">$B$8+C15</f>
        <v>193.4</v>
      </c>
      <c r="C15" s="22">
        <f>B5*B6-9</f>
        <v>39.576</v>
      </c>
      <c r="D15" s="23">
        <f t="shared" ref="D15:D138" si="3">C15*31</f>
        <v>1226.856</v>
      </c>
      <c r="E15" s="24">
        <v>1.0</v>
      </c>
      <c r="F15" s="25">
        <f t="shared" ref="F15:F138" si="4">((10*B15/2.20462)+(6.25*67*2.54 - (5*20))+5)*1.2</f>
        <v>2215.048424</v>
      </c>
      <c r="G15" s="23">
        <f t="shared" ref="G15:G138" si="5">F15-D15</f>
        <v>988.1924242</v>
      </c>
      <c r="H15" s="26">
        <v>45563.0</v>
      </c>
      <c r="J15" s="27"/>
      <c r="M15" s="20"/>
      <c r="O15" s="28"/>
    </row>
    <row r="16">
      <c r="A16" s="21">
        <f t="shared" si="1"/>
        <v>0.2031886944</v>
      </c>
      <c r="B16" s="22">
        <f t="shared" si="2"/>
        <v>193.0494697</v>
      </c>
      <c r="C16" s="22">
        <f t="shared" ref="C16:C138" si="6">C15-(D15/$B$9)</f>
        <v>39.22546971</v>
      </c>
      <c r="D16" s="23">
        <f t="shared" si="3"/>
        <v>1215.989561</v>
      </c>
      <c r="E16" s="24">
        <f t="shared" ref="E16:E138" si="7">E15+1</f>
        <v>2</v>
      </c>
      <c r="F16" s="25">
        <f t="shared" si="4"/>
        <v>2213.140448</v>
      </c>
      <c r="G16" s="23">
        <f t="shared" si="5"/>
        <v>997.1508864</v>
      </c>
      <c r="J16" s="27"/>
    </row>
    <row r="17">
      <c r="A17" s="21">
        <f t="shared" si="1"/>
        <v>0.2017521106</v>
      </c>
      <c r="B17" s="22">
        <f t="shared" si="2"/>
        <v>192.7020441</v>
      </c>
      <c r="C17" s="22">
        <f t="shared" si="6"/>
        <v>38.87804413</v>
      </c>
      <c r="D17" s="23">
        <f t="shared" si="3"/>
        <v>1205.219368</v>
      </c>
      <c r="E17" s="24">
        <f t="shared" si="7"/>
        <v>3</v>
      </c>
      <c r="F17" s="25">
        <f t="shared" si="4"/>
        <v>2211.24937</v>
      </c>
      <c r="G17" s="23">
        <f t="shared" si="5"/>
        <v>1006.030002</v>
      </c>
      <c r="J17" s="27"/>
    </row>
    <row r="18">
      <c r="A18" s="21">
        <f t="shared" si="1"/>
        <v>0.2003231302</v>
      </c>
      <c r="B18" s="22">
        <f t="shared" si="2"/>
        <v>192.3576957</v>
      </c>
      <c r="C18" s="22">
        <f t="shared" si="6"/>
        <v>38.53369573</v>
      </c>
      <c r="D18" s="23">
        <f t="shared" si="3"/>
        <v>1194.544568</v>
      </c>
      <c r="E18" s="24">
        <f t="shared" si="7"/>
        <v>4</v>
      </c>
      <c r="F18" s="25">
        <f t="shared" si="4"/>
        <v>2209.375042</v>
      </c>
      <c r="G18" s="23">
        <f t="shared" si="5"/>
        <v>1014.830475</v>
      </c>
      <c r="J18" s="27"/>
    </row>
    <row r="19">
      <c r="A19" s="21">
        <f t="shared" si="1"/>
        <v>0.1989017492</v>
      </c>
      <c r="B19" s="22">
        <f t="shared" si="2"/>
        <v>192.0163973</v>
      </c>
      <c r="C19" s="22">
        <f t="shared" si="6"/>
        <v>38.19239729</v>
      </c>
      <c r="D19" s="23">
        <f t="shared" si="3"/>
        <v>1183.964316</v>
      </c>
      <c r="E19" s="24">
        <f t="shared" si="7"/>
        <v>5</v>
      </c>
      <c r="F19" s="25">
        <f t="shared" si="4"/>
        <v>2207.517316</v>
      </c>
      <c r="G19" s="23">
        <f t="shared" si="5"/>
        <v>1023.553</v>
      </c>
      <c r="J19" s="27"/>
    </row>
    <row r="20">
      <c r="A20" s="21">
        <f t="shared" si="1"/>
        <v>0.1974879627</v>
      </c>
      <c r="B20" s="22">
        <f t="shared" si="2"/>
        <v>191.6781218</v>
      </c>
      <c r="C20" s="22">
        <f t="shared" si="6"/>
        <v>37.85412177</v>
      </c>
      <c r="D20" s="23">
        <f t="shared" si="3"/>
        <v>1173.477775</v>
      </c>
      <c r="E20" s="24">
        <f t="shared" si="7"/>
        <v>6</v>
      </c>
      <c r="F20" s="25">
        <f t="shared" si="4"/>
        <v>2205.676043</v>
      </c>
      <c r="G20" s="23">
        <f t="shared" si="5"/>
        <v>1032.198268</v>
      </c>
      <c r="J20" s="27"/>
    </row>
    <row r="21">
      <c r="A21" s="21">
        <f t="shared" si="1"/>
        <v>0.1960817658</v>
      </c>
      <c r="B21" s="22">
        <f t="shared" si="2"/>
        <v>191.3428424</v>
      </c>
      <c r="C21" s="22">
        <f t="shared" si="6"/>
        <v>37.5188424</v>
      </c>
      <c r="D21" s="23">
        <f t="shared" si="3"/>
        <v>1163.084115</v>
      </c>
      <c r="E21" s="24">
        <f t="shared" si="7"/>
        <v>7</v>
      </c>
      <c r="F21" s="25">
        <f t="shared" si="4"/>
        <v>2203.851079</v>
      </c>
      <c r="G21" s="23">
        <f t="shared" si="5"/>
        <v>1040.766965</v>
      </c>
      <c r="J21" s="27"/>
    </row>
    <row r="22">
      <c r="A22" s="21">
        <f t="shared" si="1"/>
        <v>0.1946831525</v>
      </c>
      <c r="B22" s="22">
        <f t="shared" si="2"/>
        <v>191.0105327</v>
      </c>
      <c r="C22" s="22">
        <f t="shared" si="6"/>
        <v>37.18653266</v>
      </c>
      <c r="D22" s="23">
        <f t="shared" si="3"/>
        <v>1152.782512</v>
      </c>
      <c r="E22" s="24">
        <f t="shared" si="7"/>
        <v>8</v>
      </c>
      <c r="F22" s="25">
        <f t="shared" si="4"/>
        <v>2202.042279</v>
      </c>
      <c r="G22" s="23">
        <f t="shared" si="5"/>
        <v>1049.259767</v>
      </c>
      <c r="J22" s="27"/>
    </row>
    <row r="23">
      <c r="A23" s="21">
        <f t="shared" si="1"/>
        <v>0.1932921166</v>
      </c>
      <c r="B23" s="22">
        <f t="shared" si="2"/>
        <v>190.6811662</v>
      </c>
      <c r="C23" s="22">
        <f t="shared" si="6"/>
        <v>36.85716622</v>
      </c>
      <c r="D23" s="23">
        <f t="shared" si="3"/>
        <v>1142.572153</v>
      </c>
      <c r="E23" s="24">
        <f t="shared" si="7"/>
        <v>9</v>
      </c>
      <c r="F23" s="25">
        <f t="shared" si="4"/>
        <v>2200.2495</v>
      </c>
      <c r="G23" s="23">
        <f t="shared" si="5"/>
        <v>1057.677347</v>
      </c>
      <c r="J23" s="27"/>
    </row>
    <row r="24">
      <c r="A24" s="21">
        <f t="shared" si="1"/>
        <v>0.1919086514</v>
      </c>
      <c r="B24" s="22">
        <f t="shared" si="2"/>
        <v>190.354717</v>
      </c>
      <c r="C24" s="22">
        <f t="shared" si="6"/>
        <v>36.53071704</v>
      </c>
      <c r="D24" s="23">
        <f t="shared" si="3"/>
        <v>1132.452228</v>
      </c>
      <c r="E24" s="24">
        <f t="shared" si="7"/>
        <v>10</v>
      </c>
      <c r="F24" s="25">
        <f t="shared" si="4"/>
        <v>2198.472599</v>
      </c>
      <c r="G24" s="23">
        <f t="shared" si="5"/>
        <v>1066.020371</v>
      </c>
      <c r="J24" s="27"/>
    </row>
    <row r="25">
      <c r="A25" s="21">
        <f t="shared" si="1"/>
        <v>0.1905327495</v>
      </c>
      <c r="B25" s="22">
        <f t="shared" si="2"/>
        <v>190.0311593</v>
      </c>
      <c r="C25" s="22">
        <f t="shared" si="6"/>
        <v>36.20715926</v>
      </c>
      <c r="D25" s="23">
        <f t="shared" si="3"/>
        <v>1122.421937</v>
      </c>
      <c r="E25" s="24">
        <f t="shared" si="7"/>
        <v>11</v>
      </c>
      <c r="F25" s="25">
        <f t="shared" si="4"/>
        <v>2196.711437</v>
      </c>
      <c r="G25" s="23">
        <f t="shared" si="5"/>
        <v>1074.2895</v>
      </c>
      <c r="H25" s="29">
        <v>45653.0</v>
      </c>
      <c r="J25" s="27"/>
    </row>
    <row r="26">
      <c r="A26" s="21">
        <f t="shared" si="1"/>
        <v>0.189164403</v>
      </c>
      <c r="B26" s="22">
        <f t="shared" si="2"/>
        <v>189.7104673</v>
      </c>
      <c r="C26" s="22">
        <f t="shared" si="6"/>
        <v>35.88646728</v>
      </c>
      <c r="D26" s="23">
        <f t="shared" si="3"/>
        <v>1112.480486</v>
      </c>
      <c r="E26" s="24">
        <f t="shared" si="7"/>
        <v>12</v>
      </c>
      <c r="F26" s="25">
        <f t="shared" si="4"/>
        <v>2194.965874</v>
      </c>
      <c r="G26" s="23">
        <f t="shared" si="5"/>
        <v>1082.485388</v>
      </c>
      <c r="J26" s="27">
        <v>45597.0</v>
      </c>
    </row>
    <row r="27">
      <c r="A27" s="30">
        <f t="shared" si="1"/>
        <v>0.1878036035</v>
      </c>
      <c r="B27" s="20">
        <f t="shared" si="2"/>
        <v>189.3926157</v>
      </c>
      <c r="C27" s="20">
        <f t="shared" si="6"/>
        <v>35.56861571</v>
      </c>
      <c r="D27" s="31">
        <f t="shared" si="3"/>
        <v>1102.627087</v>
      </c>
      <c r="E27" s="17">
        <f t="shared" si="7"/>
        <v>13</v>
      </c>
      <c r="F27" s="32">
        <f t="shared" si="4"/>
        <v>2193.235771</v>
      </c>
      <c r="G27" s="31">
        <f t="shared" si="5"/>
        <v>1090.608684</v>
      </c>
      <c r="J27" s="27">
        <v>45598.0</v>
      </c>
    </row>
    <row r="28">
      <c r="A28" s="30">
        <f t="shared" si="1"/>
        <v>0.1864503423</v>
      </c>
      <c r="B28" s="20">
        <f t="shared" si="2"/>
        <v>189.0775794</v>
      </c>
      <c r="C28" s="20">
        <f t="shared" si="6"/>
        <v>35.2535794</v>
      </c>
      <c r="D28" s="31">
        <f t="shared" si="3"/>
        <v>1092.860961</v>
      </c>
      <c r="E28" s="17">
        <f t="shared" si="7"/>
        <v>14</v>
      </c>
      <c r="F28" s="32">
        <f t="shared" si="4"/>
        <v>2191.520992</v>
      </c>
      <c r="G28" s="31">
        <f t="shared" si="5"/>
        <v>1098.660031</v>
      </c>
      <c r="J28" s="27">
        <v>45599.0</v>
      </c>
    </row>
    <row r="29">
      <c r="A29" s="30">
        <f t="shared" si="1"/>
        <v>0.1851046099</v>
      </c>
      <c r="B29" s="20">
        <f t="shared" si="2"/>
        <v>188.7653334</v>
      </c>
      <c r="C29" s="20">
        <f t="shared" si="6"/>
        <v>34.94133341</v>
      </c>
      <c r="D29" s="31">
        <f t="shared" si="3"/>
        <v>1083.181336</v>
      </c>
      <c r="E29" s="17">
        <f t="shared" si="7"/>
        <v>15</v>
      </c>
      <c r="F29" s="32">
        <f t="shared" si="4"/>
        <v>2189.821401</v>
      </c>
      <c r="G29" s="31">
        <f t="shared" si="5"/>
        <v>1106.640066</v>
      </c>
      <c r="J29" s="27">
        <v>45600.0</v>
      </c>
    </row>
    <row r="30">
      <c r="A30" s="30">
        <f t="shared" si="1"/>
        <v>0.1837663966</v>
      </c>
      <c r="B30" s="20">
        <f t="shared" si="2"/>
        <v>188.455853</v>
      </c>
      <c r="C30" s="20">
        <f t="shared" si="6"/>
        <v>34.63185303</v>
      </c>
      <c r="D30" s="31">
        <f t="shared" si="3"/>
        <v>1073.587444</v>
      </c>
      <c r="E30" s="17">
        <f t="shared" si="7"/>
        <v>16</v>
      </c>
      <c r="F30" s="32">
        <f t="shared" si="4"/>
        <v>2188.136864</v>
      </c>
      <c r="G30" s="31">
        <f t="shared" si="5"/>
        <v>1114.54942</v>
      </c>
      <c r="J30" s="27">
        <v>45601.0</v>
      </c>
    </row>
    <row r="31">
      <c r="A31" s="30">
        <f t="shared" si="1"/>
        <v>0.182435692</v>
      </c>
      <c r="B31" s="20">
        <f t="shared" si="2"/>
        <v>188.1491138</v>
      </c>
      <c r="C31" s="20">
        <f t="shared" si="6"/>
        <v>34.32511376</v>
      </c>
      <c r="D31" s="31">
        <f t="shared" si="3"/>
        <v>1064.078527</v>
      </c>
      <c r="E31" s="17">
        <f t="shared" si="7"/>
        <v>17</v>
      </c>
      <c r="F31" s="32">
        <f t="shared" si="4"/>
        <v>2186.467247</v>
      </c>
      <c r="G31" s="31">
        <f t="shared" si="5"/>
        <v>1122.388721</v>
      </c>
      <c r="J31" s="27">
        <v>45602.0</v>
      </c>
    </row>
    <row r="32">
      <c r="A32" s="30">
        <f t="shared" si="1"/>
        <v>0.1811124852</v>
      </c>
      <c r="B32" s="20">
        <f t="shared" si="2"/>
        <v>187.8450913</v>
      </c>
      <c r="C32" s="20">
        <f t="shared" si="6"/>
        <v>34.02109132</v>
      </c>
      <c r="D32" s="31">
        <f t="shared" si="3"/>
        <v>1054.653831</v>
      </c>
      <c r="E32" s="17">
        <f t="shared" si="7"/>
        <v>18</v>
      </c>
      <c r="F32" s="32">
        <f t="shared" si="4"/>
        <v>2184.812418</v>
      </c>
      <c r="G32" s="31">
        <f t="shared" si="5"/>
        <v>1130.158587</v>
      </c>
      <c r="J32" s="27">
        <v>45603.0</v>
      </c>
    </row>
    <row r="33">
      <c r="A33" s="30">
        <f t="shared" si="1"/>
        <v>0.1797967651</v>
      </c>
      <c r="B33" s="20">
        <f t="shared" si="2"/>
        <v>187.5437617</v>
      </c>
      <c r="C33" s="20">
        <f t="shared" si="6"/>
        <v>33.71976166</v>
      </c>
      <c r="D33" s="31">
        <f t="shared" si="3"/>
        <v>1045.312611</v>
      </c>
      <c r="E33" s="17">
        <f t="shared" si="7"/>
        <v>19</v>
      </c>
      <c r="F33" s="32">
        <f t="shared" si="4"/>
        <v>2183.172246</v>
      </c>
      <c r="G33" s="31">
        <f t="shared" si="5"/>
        <v>1137.859635</v>
      </c>
      <c r="H33" s="26">
        <v>45604.0</v>
      </c>
      <c r="J33" s="27">
        <v>45604.0</v>
      </c>
    </row>
    <row r="34">
      <c r="A34" s="30">
        <f t="shared" si="1"/>
        <v>0.1784885198</v>
      </c>
      <c r="B34" s="20">
        <f t="shared" si="2"/>
        <v>187.2451009</v>
      </c>
      <c r="C34" s="20">
        <f t="shared" si="6"/>
        <v>33.42110091</v>
      </c>
      <c r="D34" s="31">
        <f t="shared" si="3"/>
        <v>1036.054128</v>
      </c>
      <c r="E34" s="17">
        <f t="shared" si="7"/>
        <v>20</v>
      </c>
      <c r="F34" s="32">
        <f t="shared" si="4"/>
        <v>2181.546601</v>
      </c>
      <c r="G34" s="31">
        <f t="shared" si="5"/>
        <v>1145.492473</v>
      </c>
      <c r="H34" s="26">
        <v>45605.0</v>
      </c>
      <c r="J34" s="27">
        <v>45605.0</v>
      </c>
    </row>
    <row r="35">
      <c r="A35" s="30">
        <f t="shared" si="1"/>
        <v>0.1771877373</v>
      </c>
      <c r="B35" s="20">
        <f t="shared" si="2"/>
        <v>186.9490854</v>
      </c>
      <c r="C35" s="20">
        <f t="shared" si="6"/>
        <v>33.12508544</v>
      </c>
      <c r="D35" s="31">
        <f t="shared" si="3"/>
        <v>1026.877649</v>
      </c>
      <c r="E35" s="17">
        <f t="shared" si="7"/>
        <v>21</v>
      </c>
      <c r="F35" s="32">
        <f t="shared" si="4"/>
        <v>2179.935355</v>
      </c>
      <c r="G35" s="31">
        <f t="shared" si="5"/>
        <v>1153.057706</v>
      </c>
      <c r="J35" s="27">
        <v>45606.0</v>
      </c>
    </row>
    <row r="36">
      <c r="A36" s="30">
        <f t="shared" si="1"/>
        <v>0.1758944049</v>
      </c>
      <c r="B36" s="20">
        <f t="shared" si="2"/>
        <v>186.6556918</v>
      </c>
      <c r="C36" s="20">
        <f t="shared" si="6"/>
        <v>32.83169183</v>
      </c>
      <c r="D36" s="31">
        <f t="shared" si="3"/>
        <v>1017.782447</v>
      </c>
      <c r="E36" s="17">
        <f t="shared" si="7"/>
        <v>22</v>
      </c>
      <c r="F36" s="32">
        <f t="shared" si="4"/>
        <v>2178.33838</v>
      </c>
      <c r="G36" s="23">
        <f t="shared" si="5"/>
        <v>1160.555933</v>
      </c>
      <c r="H36" s="29">
        <v>45610.0</v>
      </c>
      <c r="J36" s="27">
        <v>45607.0</v>
      </c>
    </row>
    <row r="37">
      <c r="A37" s="30">
        <f t="shared" si="1"/>
        <v>0.1746085094</v>
      </c>
      <c r="B37" s="20">
        <f t="shared" si="2"/>
        <v>186.3648968</v>
      </c>
      <c r="C37" s="20">
        <f t="shared" si="6"/>
        <v>32.54089685</v>
      </c>
      <c r="D37" s="31">
        <f t="shared" si="3"/>
        <v>1008.767802</v>
      </c>
      <c r="E37" s="17">
        <f t="shared" si="7"/>
        <v>23</v>
      </c>
      <c r="F37" s="32">
        <f t="shared" si="4"/>
        <v>2176.755549</v>
      </c>
      <c r="G37" s="31">
        <f t="shared" si="5"/>
        <v>1167.987747</v>
      </c>
      <c r="J37" s="27">
        <v>45608.0</v>
      </c>
    </row>
    <row r="38">
      <c r="A38" s="30">
        <f t="shared" si="1"/>
        <v>0.1733300374</v>
      </c>
      <c r="B38" s="20">
        <f t="shared" si="2"/>
        <v>186.0766775</v>
      </c>
      <c r="C38" s="20">
        <f t="shared" si="6"/>
        <v>32.25267747</v>
      </c>
      <c r="D38" s="31">
        <f t="shared" si="3"/>
        <v>999.8330017</v>
      </c>
      <c r="E38" s="17">
        <f t="shared" si="7"/>
        <v>24</v>
      </c>
      <c r="F38" s="32">
        <f t="shared" si="4"/>
        <v>2175.186738</v>
      </c>
      <c r="G38" s="31">
        <f t="shared" si="5"/>
        <v>1175.353736</v>
      </c>
      <c r="H38" s="26"/>
      <c r="J38" s="27">
        <v>45609.0</v>
      </c>
    </row>
    <row r="39">
      <c r="A39" s="30">
        <f t="shared" si="1"/>
        <v>0.172058975</v>
      </c>
      <c r="B39" s="20">
        <f t="shared" si="2"/>
        <v>185.7910109</v>
      </c>
      <c r="C39" s="20">
        <f t="shared" si="6"/>
        <v>31.9670109</v>
      </c>
      <c r="D39" s="31">
        <f t="shared" si="3"/>
        <v>990.977338</v>
      </c>
      <c r="E39" s="17">
        <f t="shared" si="7"/>
        <v>25</v>
      </c>
      <c r="F39" s="32">
        <f t="shared" si="4"/>
        <v>2173.631822</v>
      </c>
      <c r="G39" s="31">
        <f t="shared" si="5"/>
        <v>1182.654484</v>
      </c>
      <c r="H39" s="29">
        <v>45611.0</v>
      </c>
      <c r="J39" s="27">
        <v>45610.0</v>
      </c>
    </row>
    <row r="40">
      <c r="A40" s="30">
        <f t="shared" si="1"/>
        <v>0.1707953078</v>
      </c>
      <c r="B40" s="20">
        <f t="shared" si="2"/>
        <v>185.5078745</v>
      </c>
      <c r="C40" s="20">
        <f t="shared" si="6"/>
        <v>31.68387452</v>
      </c>
      <c r="D40" s="31">
        <f t="shared" si="3"/>
        <v>982.2001101</v>
      </c>
      <c r="E40" s="17">
        <f t="shared" si="7"/>
        <v>26</v>
      </c>
      <c r="F40" s="32">
        <f t="shared" si="4"/>
        <v>2172.090678</v>
      </c>
      <c r="G40" s="31">
        <f t="shared" si="5"/>
        <v>1189.890568</v>
      </c>
      <c r="J40" s="27">
        <v>45611.0</v>
      </c>
    </row>
    <row r="41">
      <c r="A41" s="30">
        <f t="shared" si="1"/>
        <v>0.1695390209</v>
      </c>
      <c r="B41" s="20">
        <f t="shared" si="2"/>
        <v>185.2272459</v>
      </c>
      <c r="C41" s="20">
        <f t="shared" si="6"/>
        <v>31.40324592</v>
      </c>
      <c r="D41" s="31">
        <f t="shared" si="3"/>
        <v>973.5006234</v>
      </c>
      <c r="E41" s="17">
        <f t="shared" si="7"/>
        <v>27</v>
      </c>
      <c r="F41" s="32">
        <f t="shared" si="4"/>
        <v>2170.563185</v>
      </c>
      <c r="G41" s="31">
        <f t="shared" si="5"/>
        <v>1197.062561</v>
      </c>
      <c r="J41" s="27">
        <v>45612.0</v>
      </c>
    </row>
    <row r="42">
      <c r="A42" s="30">
        <f t="shared" si="1"/>
        <v>0.1682900993</v>
      </c>
      <c r="B42" s="20">
        <f t="shared" si="2"/>
        <v>184.9491029</v>
      </c>
      <c r="C42" s="20">
        <f t="shared" si="6"/>
        <v>31.12510288</v>
      </c>
      <c r="D42" s="31">
        <f t="shared" si="3"/>
        <v>964.8781893</v>
      </c>
      <c r="E42" s="17">
        <f t="shared" si="7"/>
        <v>28</v>
      </c>
      <c r="F42" s="32">
        <f t="shared" si="4"/>
        <v>2169.04922</v>
      </c>
      <c r="G42" s="31">
        <f t="shared" si="5"/>
        <v>1204.171031</v>
      </c>
      <c r="J42" s="27">
        <v>45613.0</v>
      </c>
    </row>
    <row r="43">
      <c r="A43" s="30">
        <f t="shared" si="1"/>
        <v>0.1670485272</v>
      </c>
      <c r="B43" s="20">
        <f t="shared" si="2"/>
        <v>184.6734234</v>
      </c>
      <c r="C43" s="20">
        <f t="shared" si="6"/>
        <v>30.8494234</v>
      </c>
      <c r="D43" s="31">
        <f t="shared" si="3"/>
        <v>956.3321254</v>
      </c>
      <c r="E43" s="17">
        <f t="shared" si="7"/>
        <v>29</v>
      </c>
      <c r="F43" s="32">
        <f t="shared" si="4"/>
        <v>2167.548665</v>
      </c>
      <c r="G43" s="31">
        <f t="shared" si="5"/>
        <v>1211.21654</v>
      </c>
      <c r="J43" s="27">
        <v>45614.0</v>
      </c>
    </row>
    <row r="44">
      <c r="A44" s="30">
        <f t="shared" si="1"/>
        <v>0.1658142889</v>
      </c>
      <c r="B44" s="20">
        <f t="shared" si="2"/>
        <v>184.4001856</v>
      </c>
      <c r="C44" s="20">
        <f t="shared" si="6"/>
        <v>30.57618565</v>
      </c>
      <c r="D44" s="31">
        <f t="shared" si="3"/>
        <v>947.8617551</v>
      </c>
      <c r="E44" s="17">
        <f t="shared" si="7"/>
        <v>30</v>
      </c>
      <c r="F44" s="32">
        <f t="shared" si="4"/>
        <v>2166.061401</v>
      </c>
      <c r="G44" s="31">
        <f t="shared" si="5"/>
        <v>1218.199645</v>
      </c>
      <c r="H44" s="29">
        <v>45617.0</v>
      </c>
      <c r="J44" s="27">
        <v>45615.0</v>
      </c>
    </row>
    <row r="45">
      <c r="A45" s="30">
        <f t="shared" si="1"/>
        <v>0.1645873677</v>
      </c>
      <c r="B45" s="20">
        <f t="shared" si="2"/>
        <v>184.129368</v>
      </c>
      <c r="C45" s="20">
        <f t="shared" si="6"/>
        <v>30.305368</v>
      </c>
      <c r="D45" s="31">
        <f t="shared" si="3"/>
        <v>939.4664081</v>
      </c>
      <c r="E45" s="17">
        <f t="shared" si="7"/>
        <v>31</v>
      </c>
      <c r="F45" s="32">
        <f t="shared" si="4"/>
        <v>2164.587309</v>
      </c>
      <c r="G45" s="31">
        <f t="shared" si="5"/>
        <v>1225.120901</v>
      </c>
      <c r="J45" s="27">
        <v>45616.0</v>
      </c>
    </row>
    <row r="46">
      <c r="A46" s="30">
        <f t="shared" si="1"/>
        <v>0.1633677471</v>
      </c>
      <c r="B46" s="20">
        <f t="shared" si="2"/>
        <v>183.860949</v>
      </c>
      <c r="C46" s="20">
        <f t="shared" si="6"/>
        <v>30.03694903</v>
      </c>
      <c r="D46" s="31">
        <f t="shared" si="3"/>
        <v>931.14542</v>
      </c>
      <c r="E46" s="17">
        <f t="shared" si="7"/>
        <v>32</v>
      </c>
      <c r="F46" s="32">
        <f t="shared" si="4"/>
        <v>2163.126274</v>
      </c>
      <c r="G46" s="31">
        <f t="shared" si="5"/>
        <v>1231.980854</v>
      </c>
      <c r="J46" s="27">
        <v>45617.0</v>
      </c>
    </row>
    <row r="47">
      <c r="A47" s="30">
        <f t="shared" si="1"/>
        <v>0.1621554099</v>
      </c>
      <c r="B47" s="20">
        <f t="shared" si="2"/>
        <v>183.5949075</v>
      </c>
      <c r="C47" s="20">
        <f t="shared" si="6"/>
        <v>29.77090748</v>
      </c>
      <c r="D47" s="31">
        <f t="shared" si="3"/>
        <v>922.898132</v>
      </c>
      <c r="E47" s="17">
        <f t="shared" si="7"/>
        <v>33</v>
      </c>
      <c r="F47" s="32">
        <f t="shared" si="4"/>
        <v>2161.678179</v>
      </c>
      <c r="G47" s="31">
        <f t="shared" si="5"/>
        <v>1238.780047</v>
      </c>
      <c r="J47" s="27">
        <v>45618.0</v>
      </c>
    </row>
    <row r="48">
      <c r="A48" s="30">
        <f t="shared" si="1"/>
        <v>0.1609503386</v>
      </c>
      <c r="B48" s="20">
        <f t="shared" si="2"/>
        <v>183.3312223</v>
      </c>
      <c r="C48" s="20">
        <f t="shared" si="6"/>
        <v>29.5072223</v>
      </c>
      <c r="D48" s="31">
        <f t="shared" si="3"/>
        <v>914.7238914</v>
      </c>
      <c r="E48" s="17">
        <f t="shared" si="7"/>
        <v>34</v>
      </c>
      <c r="F48" s="32">
        <f t="shared" si="4"/>
        <v>2160.24291</v>
      </c>
      <c r="G48" s="31">
        <f t="shared" si="5"/>
        <v>1245.519019</v>
      </c>
      <c r="H48" s="29">
        <v>45619.0</v>
      </c>
      <c r="J48" s="27">
        <v>45619.0</v>
      </c>
    </row>
    <row r="49">
      <c r="A49" s="30">
        <f t="shared" si="1"/>
        <v>0.1597525153</v>
      </c>
      <c r="B49" s="20">
        <f t="shared" si="2"/>
        <v>183.0698726</v>
      </c>
      <c r="C49" s="20">
        <f t="shared" si="6"/>
        <v>29.24587262</v>
      </c>
      <c r="D49" s="31">
        <f t="shared" si="3"/>
        <v>906.6220512</v>
      </c>
      <c r="E49" s="17">
        <f t="shared" si="7"/>
        <v>35</v>
      </c>
      <c r="F49" s="32">
        <f t="shared" si="4"/>
        <v>2158.820354</v>
      </c>
      <c r="G49" s="31">
        <f t="shared" si="5"/>
        <v>1252.198303</v>
      </c>
      <c r="J49" s="27">
        <v>45620.0</v>
      </c>
    </row>
    <row r="50">
      <c r="A50" s="30">
        <f t="shared" si="1"/>
        <v>0.1585619217</v>
      </c>
      <c r="B50" s="20">
        <f t="shared" si="2"/>
        <v>182.8108377</v>
      </c>
      <c r="C50" s="20">
        <f t="shared" si="6"/>
        <v>28.98683775</v>
      </c>
      <c r="D50" s="31">
        <f t="shared" si="3"/>
        <v>898.5919701</v>
      </c>
      <c r="E50" s="17">
        <f t="shared" si="7"/>
        <v>36</v>
      </c>
      <c r="F50" s="32">
        <f t="shared" si="4"/>
        <v>2157.410397</v>
      </c>
      <c r="G50" s="31">
        <f t="shared" si="5"/>
        <v>1258.818427</v>
      </c>
      <c r="J50" s="27">
        <v>45621.0</v>
      </c>
    </row>
    <row r="51">
      <c r="A51" s="30">
        <f t="shared" si="1"/>
        <v>0.1573785394</v>
      </c>
      <c r="B51" s="20">
        <f t="shared" si="2"/>
        <v>182.5540972</v>
      </c>
      <c r="C51" s="20">
        <f t="shared" si="6"/>
        <v>28.73009718</v>
      </c>
      <c r="D51" s="31">
        <f t="shared" si="3"/>
        <v>890.6330127</v>
      </c>
      <c r="E51" s="17">
        <f t="shared" si="7"/>
        <v>37</v>
      </c>
      <c r="F51" s="32">
        <f t="shared" si="4"/>
        <v>2156.012929</v>
      </c>
      <c r="G51" s="31">
        <f t="shared" si="5"/>
        <v>1265.379916</v>
      </c>
      <c r="H51" s="29">
        <v>45622.0</v>
      </c>
      <c r="J51" s="27">
        <v>45622.0</v>
      </c>
    </row>
    <row r="52">
      <c r="A52" s="30">
        <f t="shared" si="1"/>
        <v>0.1562023495</v>
      </c>
      <c r="B52" s="20">
        <f t="shared" si="2"/>
        <v>182.2996306</v>
      </c>
      <c r="C52" s="20">
        <f t="shared" si="6"/>
        <v>28.47563061</v>
      </c>
      <c r="D52" s="31">
        <f t="shared" si="3"/>
        <v>882.7445489</v>
      </c>
      <c r="E52" s="17">
        <f t="shared" si="7"/>
        <v>38</v>
      </c>
      <c r="F52" s="32">
        <f t="shared" si="4"/>
        <v>2154.627838</v>
      </c>
      <c r="G52" s="31">
        <f t="shared" si="5"/>
        <v>1271.883289</v>
      </c>
      <c r="H52" s="33">
        <v>45623.0</v>
      </c>
      <c r="J52" s="33">
        <v>45623.0</v>
      </c>
    </row>
    <row r="53">
      <c r="A53" s="30">
        <f t="shared" si="1"/>
        <v>0.1550333326</v>
      </c>
      <c r="B53" s="20">
        <f t="shared" si="2"/>
        <v>182.0474179</v>
      </c>
      <c r="C53" s="20">
        <f t="shared" si="6"/>
        <v>28.22341788</v>
      </c>
      <c r="D53" s="31">
        <f t="shared" si="3"/>
        <v>874.9259543</v>
      </c>
      <c r="E53" s="17">
        <f t="shared" si="7"/>
        <v>39</v>
      </c>
      <c r="F53" s="32">
        <f t="shared" si="4"/>
        <v>2153.255015</v>
      </c>
      <c r="G53" s="31">
        <f t="shared" si="5"/>
        <v>1278.329061</v>
      </c>
      <c r="H53" s="27">
        <v>45631.0</v>
      </c>
      <c r="J53" s="27">
        <v>45624.0</v>
      </c>
    </row>
    <row r="54">
      <c r="A54" s="30">
        <f t="shared" si="1"/>
        <v>0.1538714692</v>
      </c>
      <c r="B54" s="20">
        <f t="shared" si="2"/>
        <v>181.797439</v>
      </c>
      <c r="C54" s="20">
        <f t="shared" si="6"/>
        <v>27.97343904</v>
      </c>
      <c r="D54" s="31">
        <f t="shared" si="3"/>
        <v>867.1766101</v>
      </c>
      <c r="E54" s="17">
        <f t="shared" si="7"/>
        <v>40</v>
      </c>
      <c r="F54" s="32">
        <f t="shared" si="4"/>
        <v>2151.894352</v>
      </c>
      <c r="G54" s="31">
        <f t="shared" si="5"/>
        <v>1284.717741</v>
      </c>
      <c r="J54" s="33">
        <v>45625.0</v>
      </c>
    </row>
    <row r="55">
      <c r="A55" s="30">
        <f t="shared" si="1"/>
        <v>0.1527167394</v>
      </c>
      <c r="B55" s="20">
        <f t="shared" si="2"/>
        <v>181.5496743</v>
      </c>
      <c r="C55" s="20">
        <f t="shared" si="6"/>
        <v>27.72567429</v>
      </c>
      <c r="D55" s="31">
        <f t="shared" si="3"/>
        <v>859.495903</v>
      </c>
      <c r="E55" s="17">
        <f t="shared" si="7"/>
        <v>41</v>
      </c>
      <c r="F55" s="32">
        <f t="shared" si="4"/>
        <v>2150.54574</v>
      </c>
      <c r="G55" s="31">
        <f t="shared" si="5"/>
        <v>1291.049837</v>
      </c>
      <c r="J55" s="27">
        <v>45626.0</v>
      </c>
    </row>
    <row r="56">
      <c r="A56" s="30">
        <f t="shared" si="1"/>
        <v>0.1515691229</v>
      </c>
      <c r="B56" s="20">
        <f t="shared" si="2"/>
        <v>181.304104</v>
      </c>
      <c r="C56" s="20">
        <f t="shared" si="6"/>
        <v>27.48010403</v>
      </c>
      <c r="D56" s="31">
        <f t="shared" si="3"/>
        <v>851.883225</v>
      </c>
      <c r="E56" s="17">
        <f t="shared" si="7"/>
        <v>42</v>
      </c>
      <c r="F56" s="32">
        <f t="shared" si="4"/>
        <v>2149.209072</v>
      </c>
      <c r="G56" s="31">
        <f t="shared" si="5"/>
        <v>1297.325847</v>
      </c>
      <c r="J56" s="33">
        <v>45627.0</v>
      </c>
    </row>
    <row r="57">
      <c r="A57" s="30">
        <f t="shared" si="1"/>
        <v>0.1504285993</v>
      </c>
      <c r="B57" s="20">
        <f t="shared" si="2"/>
        <v>181.0607088</v>
      </c>
      <c r="C57" s="20">
        <f t="shared" si="6"/>
        <v>27.23670883</v>
      </c>
      <c r="D57" s="31">
        <f t="shared" si="3"/>
        <v>844.3379736</v>
      </c>
      <c r="E57" s="17">
        <f t="shared" si="7"/>
        <v>43</v>
      </c>
      <c r="F57" s="32">
        <f t="shared" si="4"/>
        <v>2147.884244</v>
      </c>
      <c r="G57" s="31">
        <f t="shared" si="5"/>
        <v>1303.546271</v>
      </c>
      <c r="J57" s="27">
        <v>45628.0</v>
      </c>
    </row>
    <row r="58">
      <c r="A58" s="30">
        <f t="shared" si="1"/>
        <v>0.1492951478</v>
      </c>
      <c r="B58" s="20">
        <f t="shared" si="2"/>
        <v>180.8194694</v>
      </c>
      <c r="C58" s="20">
        <f t="shared" si="6"/>
        <v>26.9954694</v>
      </c>
      <c r="D58" s="31">
        <f t="shared" si="3"/>
        <v>836.8595515</v>
      </c>
      <c r="E58" s="17">
        <f t="shared" si="7"/>
        <v>44</v>
      </c>
      <c r="F58" s="32">
        <f t="shared" si="4"/>
        <v>2146.571151</v>
      </c>
      <c r="G58" s="31">
        <f t="shared" si="5"/>
        <v>1309.711599</v>
      </c>
      <c r="J58" s="33">
        <v>45629.0</v>
      </c>
    </row>
    <row r="59">
      <c r="A59" s="30">
        <f t="shared" si="1"/>
        <v>0.1481687471</v>
      </c>
      <c r="B59" s="20">
        <f t="shared" si="2"/>
        <v>180.5803667</v>
      </c>
      <c r="C59" s="20">
        <f t="shared" si="6"/>
        <v>26.75636668</v>
      </c>
      <c r="D59" s="31">
        <f t="shared" si="3"/>
        <v>829.4473669</v>
      </c>
      <c r="E59" s="17">
        <f t="shared" si="7"/>
        <v>45</v>
      </c>
      <c r="F59" s="32">
        <f t="shared" si="4"/>
        <v>2145.269687</v>
      </c>
      <c r="G59" s="31">
        <f t="shared" si="5"/>
        <v>1315.82232</v>
      </c>
      <c r="J59" s="27">
        <v>45630.0</v>
      </c>
    </row>
    <row r="60">
      <c r="A60" s="30">
        <f t="shared" si="1"/>
        <v>0.1470493758</v>
      </c>
      <c r="B60" s="20">
        <f t="shared" si="2"/>
        <v>180.3433817</v>
      </c>
      <c r="C60" s="20">
        <f t="shared" si="6"/>
        <v>26.51938171</v>
      </c>
      <c r="D60" s="31">
        <f t="shared" si="3"/>
        <v>822.1008331</v>
      </c>
      <c r="E60" s="17">
        <f t="shared" si="7"/>
        <v>46</v>
      </c>
      <c r="F60" s="32">
        <f t="shared" si="4"/>
        <v>2143.979751</v>
      </c>
      <c r="G60" s="31">
        <f t="shared" si="5"/>
        <v>1321.878917</v>
      </c>
      <c r="J60" s="33">
        <v>45631.0</v>
      </c>
    </row>
    <row r="61">
      <c r="A61" s="30">
        <f t="shared" si="1"/>
        <v>0.1459370123</v>
      </c>
      <c r="B61" s="20">
        <f t="shared" si="2"/>
        <v>180.1084958</v>
      </c>
      <c r="C61" s="20">
        <f t="shared" si="6"/>
        <v>26.28449576</v>
      </c>
      <c r="D61" s="31">
        <f t="shared" si="3"/>
        <v>814.8193686</v>
      </c>
      <c r="E61" s="17">
        <f t="shared" si="7"/>
        <v>47</v>
      </c>
      <c r="F61" s="32">
        <f t="shared" si="4"/>
        <v>2142.701239</v>
      </c>
      <c r="G61" s="31">
        <f t="shared" si="5"/>
        <v>1327.881871</v>
      </c>
      <c r="J61" s="27">
        <v>45632.0</v>
      </c>
    </row>
    <row r="62">
      <c r="A62" s="30">
        <f t="shared" si="1"/>
        <v>0.1448316345</v>
      </c>
      <c r="B62" s="20">
        <f t="shared" si="2"/>
        <v>179.8756902</v>
      </c>
      <c r="C62" s="20">
        <f t="shared" si="6"/>
        <v>26.05169023</v>
      </c>
      <c r="D62" s="31">
        <f t="shared" si="3"/>
        <v>807.602397</v>
      </c>
      <c r="E62" s="17">
        <f t="shared" si="7"/>
        <v>48</v>
      </c>
      <c r="F62" s="32">
        <f t="shared" si="4"/>
        <v>2141.434052</v>
      </c>
      <c r="G62" s="31">
        <f t="shared" si="5"/>
        <v>1333.831655</v>
      </c>
      <c r="J62" s="33">
        <v>45633.0</v>
      </c>
    </row>
    <row r="63">
      <c r="A63" s="30">
        <f t="shared" si="1"/>
        <v>0.1437332202</v>
      </c>
      <c r="B63" s="20">
        <f t="shared" si="2"/>
        <v>179.6449467</v>
      </c>
      <c r="C63" s="20">
        <f t="shared" si="6"/>
        <v>25.82094669</v>
      </c>
      <c r="D63" s="31">
        <f t="shared" si="3"/>
        <v>800.4493472</v>
      </c>
      <c r="E63" s="17">
        <f t="shared" si="7"/>
        <v>49</v>
      </c>
      <c r="F63" s="32">
        <f t="shared" si="4"/>
        <v>2140.178088</v>
      </c>
      <c r="G63" s="31">
        <f t="shared" si="5"/>
        <v>1339.728741</v>
      </c>
      <c r="J63" s="27">
        <v>45634.0</v>
      </c>
    </row>
    <row r="64">
      <c r="A64" s="30">
        <f t="shared" si="1"/>
        <v>0.1426417469</v>
      </c>
      <c r="B64" s="20">
        <f t="shared" si="2"/>
        <v>179.4162469</v>
      </c>
      <c r="C64" s="20">
        <f t="shared" si="6"/>
        <v>25.59224687</v>
      </c>
      <c r="D64" s="31">
        <f t="shared" si="3"/>
        <v>793.359653</v>
      </c>
      <c r="E64" s="17">
        <f t="shared" si="7"/>
        <v>50</v>
      </c>
      <c r="F64" s="32">
        <f t="shared" si="4"/>
        <v>2138.933249</v>
      </c>
      <c r="G64" s="31">
        <f t="shared" si="5"/>
        <v>1345.573596</v>
      </c>
      <c r="J64" s="33">
        <v>45635.0</v>
      </c>
    </row>
    <row r="65">
      <c r="A65" s="30">
        <f t="shared" si="1"/>
        <v>0.1415571917</v>
      </c>
      <c r="B65" s="20">
        <f t="shared" si="2"/>
        <v>179.1895727</v>
      </c>
      <c r="C65" s="20">
        <f t="shared" si="6"/>
        <v>25.36557269</v>
      </c>
      <c r="D65" s="31">
        <f t="shared" si="3"/>
        <v>786.3327532</v>
      </c>
      <c r="E65" s="17">
        <f t="shared" si="7"/>
        <v>51</v>
      </c>
      <c r="F65" s="32">
        <f t="shared" si="4"/>
        <v>2137.699435</v>
      </c>
      <c r="G65" s="31">
        <f t="shared" si="5"/>
        <v>1351.366682</v>
      </c>
      <c r="J65" s="27">
        <v>45636.0</v>
      </c>
    </row>
    <row r="66">
      <c r="A66" s="30">
        <f t="shared" si="1"/>
        <v>0.1404795315</v>
      </c>
      <c r="B66" s="20">
        <f t="shared" si="2"/>
        <v>178.9649062</v>
      </c>
      <c r="C66" s="20">
        <f t="shared" si="6"/>
        <v>25.14090618</v>
      </c>
      <c r="D66" s="31">
        <f t="shared" si="3"/>
        <v>779.3680917</v>
      </c>
      <c r="E66" s="17">
        <f t="shared" si="7"/>
        <v>52</v>
      </c>
      <c r="F66" s="32">
        <f t="shared" si="4"/>
        <v>2136.47655</v>
      </c>
      <c r="G66" s="31">
        <f t="shared" si="5"/>
        <v>1357.108458</v>
      </c>
      <c r="J66" s="33">
        <v>45637.0</v>
      </c>
    </row>
    <row r="67">
      <c r="A67" s="30">
        <f t="shared" si="1"/>
        <v>0.1394087432</v>
      </c>
      <c r="B67" s="20">
        <f t="shared" si="2"/>
        <v>178.7422296</v>
      </c>
      <c r="C67" s="20">
        <f t="shared" si="6"/>
        <v>24.91822959</v>
      </c>
      <c r="D67" s="31">
        <f t="shared" si="3"/>
        <v>772.4651172</v>
      </c>
      <c r="E67" s="17">
        <f t="shared" si="7"/>
        <v>53</v>
      </c>
      <c r="F67" s="32">
        <f t="shared" si="4"/>
        <v>2135.264495</v>
      </c>
      <c r="G67" s="31">
        <f t="shared" si="5"/>
        <v>1362.799378</v>
      </c>
      <c r="J67" s="27">
        <v>45638.0</v>
      </c>
    </row>
    <row r="68">
      <c r="A68" s="30">
        <f t="shared" si="1"/>
        <v>0.1383448031</v>
      </c>
      <c r="B68" s="20">
        <f t="shared" si="2"/>
        <v>178.5215253</v>
      </c>
      <c r="C68" s="20">
        <f t="shared" si="6"/>
        <v>24.69752527</v>
      </c>
      <c r="D68" s="31">
        <f t="shared" si="3"/>
        <v>765.6232833</v>
      </c>
      <c r="E68" s="17">
        <f t="shared" si="7"/>
        <v>54</v>
      </c>
      <c r="F68" s="32">
        <f t="shared" si="4"/>
        <v>2134.063177</v>
      </c>
      <c r="G68" s="31">
        <f t="shared" si="5"/>
        <v>1368.439893</v>
      </c>
      <c r="J68" s="33">
        <v>45639.0</v>
      </c>
    </row>
    <row r="69">
      <c r="A69" s="30">
        <f t="shared" si="1"/>
        <v>0.1372876875</v>
      </c>
      <c r="B69" s="20">
        <f t="shared" si="2"/>
        <v>178.3027758</v>
      </c>
      <c r="C69" s="20">
        <f t="shared" si="6"/>
        <v>24.47877576</v>
      </c>
      <c r="D69" s="31">
        <f t="shared" si="3"/>
        <v>758.8420485</v>
      </c>
      <c r="E69" s="17">
        <f t="shared" si="7"/>
        <v>55</v>
      </c>
      <c r="F69" s="32">
        <f t="shared" si="4"/>
        <v>2132.872498</v>
      </c>
      <c r="G69" s="31">
        <f t="shared" si="5"/>
        <v>1374.030449</v>
      </c>
      <c r="J69" s="27">
        <v>45640.0</v>
      </c>
    </row>
    <row r="70">
      <c r="A70" s="30">
        <f t="shared" si="1"/>
        <v>0.1362373723</v>
      </c>
      <c r="B70" s="20">
        <f t="shared" si="2"/>
        <v>178.0859637</v>
      </c>
      <c r="C70" s="20">
        <f t="shared" si="6"/>
        <v>24.26196374</v>
      </c>
      <c r="D70" s="31">
        <f t="shared" si="3"/>
        <v>752.1208761</v>
      </c>
      <c r="E70" s="17">
        <f t="shared" si="7"/>
        <v>56</v>
      </c>
      <c r="F70" s="32">
        <f t="shared" si="4"/>
        <v>2131.692365</v>
      </c>
      <c r="G70" s="31">
        <f t="shared" si="5"/>
        <v>1379.571489</v>
      </c>
      <c r="J70" s="33">
        <v>45641.0</v>
      </c>
    </row>
    <row r="71">
      <c r="A71" s="30">
        <f t="shared" si="1"/>
        <v>0.1351938333</v>
      </c>
      <c r="B71" s="20">
        <f t="shared" si="2"/>
        <v>177.8710721</v>
      </c>
      <c r="C71" s="20">
        <f t="shared" si="6"/>
        <v>24.04707207</v>
      </c>
      <c r="D71" s="31">
        <f t="shared" si="3"/>
        <v>745.459234</v>
      </c>
      <c r="E71" s="17">
        <f t="shared" si="7"/>
        <v>57</v>
      </c>
      <c r="F71" s="32">
        <f t="shared" si="4"/>
        <v>2130.522685</v>
      </c>
      <c r="G71" s="31">
        <f t="shared" si="5"/>
        <v>1385.063451</v>
      </c>
      <c r="J71" s="27">
        <v>45642.0</v>
      </c>
    </row>
    <row r="72">
      <c r="A72" s="30">
        <f t="shared" si="1"/>
        <v>0.134157046</v>
      </c>
      <c r="B72" s="20">
        <f t="shared" si="2"/>
        <v>177.6580837</v>
      </c>
      <c r="C72" s="20">
        <f t="shared" si="6"/>
        <v>23.83408371</v>
      </c>
      <c r="D72" s="31">
        <f t="shared" si="3"/>
        <v>738.8565951</v>
      </c>
      <c r="E72" s="17">
        <f t="shared" si="7"/>
        <v>58</v>
      </c>
      <c r="F72" s="32">
        <f t="shared" si="4"/>
        <v>2129.363365</v>
      </c>
      <c r="G72" s="31">
        <f t="shared" si="5"/>
        <v>1390.50677</v>
      </c>
      <c r="J72" s="33">
        <v>45643.0</v>
      </c>
    </row>
    <row r="73">
      <c r="A73" s="30">
        <f t="shared" si="1"/>
        <v>0.1331269858</v>
      </c>
      <c r="B73" s="20">
        <f t="shared" si="2"/>
        <v>177.4469818</v>
      </c>
      <c r="C73" s="20">
        <f t="shared" si="6"/>
        <v>23.62298183</v>
      </c>
      <c r="D73" s="31">
        <f t="shared" si="3"/>
        <v>732.3124367</v>
      </c>
      <c r="E73" s="17">
        <f t="shared" si="7"/>
        <v>59</v>
      </c>
      <c r="F73" s="32">
        <f t="shared" si="4"/>
        <v>2128.214313</v>
      </c>
      <c r="G73" s="31">
        <f t="shared" si="5"/>
        <v>1395.901876</v>
      </c>
      <c r="J73" s="27">
        <v>45644.0</v>
      </c>
    </row>
    <row r="74">
      <c r="A74" s="30">
        <f t="shared" si="1"/>
        <v>0.1321036277</v>
      </c>
      <c r="B74" s="20">
        <f t="shared" si="2"/>
        <v>177.2377497</v>
      </c>
      <c r="C74" s="20">
        <f t="shared" si="6"/>
        <v>23.4137497</v>
      </c>
      <c r="D74" s="31">
        <f t="shared" si="3"/>
        <v>725.8262408</v>
      </c>
      <c r="E74" s="17">
        <f t="shared" si="7"/>
        <v>60</v>
      </c>
      <c r="F74" s="32">
        <f t="shared" si="4"/>
        <v>2127.075439</v>
      </c>
      <c r="G74" s="31">
        <f t="shared" si="5"/>
        <v>1401.249198</v>
      </c>
      <c r="J74" s="33">
        <v>45645.0</v>
      </c>
    </row>
    <row r="75">
      <c r="A75" s="30">
        <f t="shared" si="1"/>
        <v>0.1310869467</v>
      </c>
      <c r="B75" s="20">
        <f t="shared" si="2"/>
        <v>177.0303708</v>
      </c>
      <c r="C75" s="20">
        <f t="shared" si="6"/>
        <v>23.20637078</v>
      </c>
      <c r="D75" s="31">
        <f t="shared" si="3"/>
        <v>719.3974941</v>
      </c>
      <c r="E75" s="17">
        <f t="shared" si="7"/>
        <v>61</v>
      </c>
      <c r="F75" s="32">
        <f t="shared" si="4"/>
        <v>2125.946651</v>
      </c>
      <c r="G75" s="31">
        <f t="shared" si="5"/>
        <v>1406.549157</v>
      </c>
      <c r="J75" s="27">
        <v>45646.0</v>
      </c>
    </row>
    <row r="76">
      <c r="A76" s="30">
        <f t="shared" si="1"/>
        <v>0.1300769174</v>
      </c>
      <c r="B76" s="20">
        <f t="shared" si="2"/>
        <v>176.8248286</v>
      </c>
      <c r="C76" s="20">
        <f t="shared" si="6"/>
        <v>23.00082864</v>
      </c>
      <c r="D76" s="31">
        <f t="shared" si="3"/>
        <v>713.0256877</v>
      </c>
      <c r="E76" s="17">
        <f t="shared" si="7"/>
        <v>62</v>
      </c>
      <c r="F76" s="32">
        <f t="shared" si="4"/>
        <v>2124.827862</v>
      </c>
      <c r="G76" s="31">
        <f t="shared" si="5"/>
        <v>1411.802174</v>
      </c>
      <c r="J76" s="33">
        <v>45647.0</v>
      </c>
    </row>
    <row r="77">
      <c r="A77" s="30">
        <f t="shared" si="1"/>
        <v>0.1290735145</v>
      </c>
      <c r="B77" s="20">
        <f t="shared" si="2"/>
        <v>176.621107</v>
      </c>
      <c r="C77" s="20">
        <f t="shared" si="6"/>
        <v>22.79710701</v>
      </c>
      <c r="D77" s="31">
        <f t="shared" si="3"/>
        <v>706.7103174</v>
      </c>
      <c r="E77" s="17">
        <f t="shared" si="7"/>
        <v>63</v>
      </c>
      <c r="F77" s="32">
        <f t="shared" si="4"/>
        <v>2123.718982</v>
      </c>
      <c r="G77" s="31">
        <f t="shared" si="5"/>
        <v>1417.008664</v>
      </c>
      <c r="J77" s="27">
        <v>45648.0</v>
      </c>
    </row>
    <row r="78">
      <c r="A78" s="30">
        <f t="shared" si="1"/>
        <v>0.1280767121</v>
      </c>
      <c r="B78" s="20">
        <f t="shared" si="2"/>
        <v>176.4191898</v>
      </c>
      <c r="C78" s="20">
        <f t="shared" si="6"/>
        <v>22.59518978</v>
      </c>
      <c r="D78" s="31">
        <f t="shared" si="3"/>
        <v>700.4508831</v>
      </c>
      <c r="E78" s="17">
        <f t="shared" si="7"/>
        <v>64</v>
      </c>
      <c r="F78" s="32">
        <f t="shared" si="4"/>
        <v>2122.619923</v>
      </c>
      <c r="G78" s="31">
        <f t="shared" si="5"/>
        <v>1422.16904</v>
      </c>
      <c r="J78" s="33">
        <v>45649.0</v>
      </c>
    </row>
    <row r="79">
      <c r="A79" s="30">
        <f t="shared" si="1"/>
        <v>0.1270864845</v>
      </c>
      <c r="B79" s="20">
        <f t="shared" si="2"/>
        <v>176.219061</v>
      </c>
      <c r="C79" s="20">
        <f t="shared" si="6"/>
        <v>22.39506095</v>
      </c>
      <c r="D79" s="31">
        <f t="shared" si="3"/>
        <v>694.2468896</v>
      </c>
      <c r="E79" s="17">
        <f t="shared" si="7"/>
        <v>65</v>
      </c>
      <c r="F79" s="32">
        <f t="shared" si="4"/>
        <v>2121.530599</v>
      </c>
      <c r="G79" s="31">
        <f t="shared" si="5"/>
        <v>1427.283709</v>
      </c>
      <c r="J79" s="27">
        <v>45650.0</v>
      </c>
    </row>
    <row r="80">
      <c r="A80" s="30">
        <f t="shared" si="1"/>
        <v>0.1261028056</v>
      </c>
      <c r="B80" s="20">
        <f t="shared" si="2"/>
        <v>176.0207047</v>
      </c>
      <c r="C80" s="20">
        <f t="shared" si="6"/>
        <v>22.1967047</v>
      </c>
      <c r="D80" s="31">
        <f t="shared" si="3"/>
        <v>688.0978457</v>
      </c>
      <c r="E80" s="17">
        <f t="shared" si="7"/>
        <v>66</v>
      </c>
      <c r="F80" s="32">
        <f t="shared" si="4"/>
        <v>2120.450923</v>
      </c>
      <c r="G80" s="31">
        <f t="shared" si="5"/>
        <v>1432.353077</v>
      </c>
      <c r="J80" s="33">
        <v>45651.0</v>
      </c>
    </row>
    <row r="81">
      <c r="A81" s="30">
        <f t="shared" si="1"/>
        <v>0.1251256492</v>
      </c>
      <c r="B81" s="20">
        <f t="shared" si="2"/>
        <v>175.8241053</v>
      </c>
      <c r="C81" s="20">
        <f t="shared" si="6"/>
        <v>22.00010532</v>
      </c>
      <c r="D81" s="31">
        <f t="shared" si="3"/>
        <v>682.0032648</v>
      </c>
      <c r="E81" s="17">
        <f t="shared" si="7"/>
        <v>67</v>
      </c>
      <c r="F81" s="32">
        <f t="shared" si="4"/>
        <v>2119.38081</v>
      </c>
      <c r="G81" s="31">
        <f t="shared" si="5"/>
        <v>1437.377545</v>
      </c>
      <c r="J81" s="27">
        <v>45652.0</v>
      </c>
    </row>
    <row r="82">
      <c r="A82" s="30">
        <f t="shared" si="1"/>
        <v>0.1241549889</v>
      </c>
      <c r="B82" s="20">
        <f t="shared" si="2"/>
        <v>175.6292472</v>
      </c>
      <c r="C82" s="20">
        <f t="shared" si="6"/>
        <v>21.80524724</v>
      </c>
      <c r="D82" s="31">
        <f t="shared" si="3"/>
        <v>675.9626644</v>
      </c>
      <c r="E82" s="17">
        <f t="shared" si="7"/>
        <v>68</v>
      </c>
      <c r="F82" s="32">
        <f t="shared" si="4"/>
        <v>2118.320175</v>
      </c>
      <c r="G82" s="31">
        <f t="shared" si="5"/>
        <v>1442.35751</v>
      </c>
      <c r="J82" s="33">
        <v>45653.0</v>
      </c>
    </row>
    <row r="83">
      <c r="A83" s="30">
        <f t="shared" si="1"/>
        <v>0.1231907982</v>
      </c>
      <c r="B83" s="20">
        <f t="shared" si="2"/>
        <v>175.436115</v>
      </c>
      <c r="C83" s="20">
        <f t="shared" si="6"/>
        <v>21.61211505</v>
      </c>
      <c r="D83" s="31">
        <f t="shared" si="3"/>
        <v>669.9755665</v>
      </c>
      <c r="E83" s="17">
        <f t="shared" si="7"/>
        <v>69</v>
      </c>
      <c r="F83" s="32">
        <f t="shared" si="4"/>
        <v>2117.268934</v>
      </c>
      <c r="G83" s="31">
        <f t="shared" si="5"/>
        <v>1447.293368</v>
      </c>
      <c r="J83" s="27">
        <v>45654.0</v>
      </c>
    </row>
    <row r="84">
      <c r="A84" s="30">
        <f t="shared" si="1"/>
        <v>0.1222330505</v>
      </c>
      <c r="B84" s="20">
        <f t="shared" si="2"/>
        <v>175.2446935</v>
      </c>
      <c r="C84" s="20">
        <f t="shared" si="6"/>
        <v>21.42069346</v>
      </c>
      <c r="D84" s="31">
        <f t="shared" si="3"/>
        <v>664.0414972</v>
      </c>
      <c r="E84" s="17">
        <f t="shared" si="7"/>
        <v>70</v>
      </c>
      <c r="F84" s="32">
        <f t="shared" si="4"/>
        <v>2116.227004</v>
      </c>
      <c r="G84" s="31">
        <f t="shared" si="5"/>
        <v>1452.185507</v>
      </c>
      <c r="J84" s="33">
        <v>45655.0</v>
      </c>
    </row>
    <row r="85">
      <c r="A85" s="30">
        <f t="shared" si="1"/>
        <v>0.1212817188</v>
      </c>
      <c r="B85" s="20">
        <f t="shared" si="2"/>
        <v>175.0549673</v>
      </c>
      <c r="C85" s="20">
        <f t="shared" si="6"/>
        <v>21.23096732</v>
      </c>
      <c r="D85" s="31">
        <f t="shared" si="3"/>
        <v>658.1599868</v>
      </c>
      <c r="E85" s="17">
        <f t="shared" si="7"/>
        <v>71</v>
      </c>
      <c r="F85" s="32">
        <f t="shared" si="4"/>
        <v>2115.194303</v>
      </c>
      <c r="G85" s="31">
        <f t="shared" si="5"/>
        <v>1457.034316</v>
      </c>
      <c r="J85" s="27">
        <v>45656.0</v>
      </c>
    </row>
    <row r="86">
      <c r="A86" s="30">
        <f t="shared" si="1"/>
        <v>0.1203367762</v>
      </c>
      <c r="B86" s="20">
        <f t="shared" si="2"/>
        <v>174.8669216</v>
      </c>
      <c r="C86" s="20">
        <f t="shared" si="6"/>
        <v>21.04292161</v>
      </c>
      <c r="D86" s="31">
        <f t="shared" si="3"/>
        <v>652.3305698</v>
      </c>
      <c r="E86" s="17">
        <f t="shared" si="7"/>
        <v>72</v>
      </c>
      <c r="F86" s="32">
        <f t="shared" si="4"/>
        <v>2114.170749</v>
      </c>
      <c r="G86" s="31">
        <f t="shared" si="5"/>
        <v>1461.840179</v>
      </c>
      <c r="J86" s="33">
        <v>45657.0</v>
      </c>
    </row>
    <row r="87">
      <c r="A87" s="30">
        <f t="shared" si="1"/>
        <v>0.1193981955</v>
      </c>
      <c r="B87" s="20">
        <f t="shared" si="2"/>
        <v>174.6805414</v>
      </c>
      <c r="C87" s="20">
        <f t="shared" si="6"/>
        <v>20.85654144</v>
      </c>
      <c r="D87" s="31">
        <f t="shared" si="3"/>
        <v>646.5527848</v>
      </c>
      <c r="E87" s="17">
        <f t="shared" si="7"/>
        <v>73</v>
      </c>
      <c r="F87" s="32">
        <f t="shared" si="4"/>
        <v>2113.15626</v>
      </c>
      <c r="G87" s="31">
        <f t="shared" si="5"/>
        <v>1466.603475</v>
      </c>
      <c r="J87" s="27">
        <v>45658.0</v>
      </c>
    </row>
    <row r="88">
      <c r="A88" s="30">
        <f t="shared" si="1"/>
        <v>0.1184659496</v>
      </c>
      <c r="B88" s="20">
        <f t="shared" si="2"/>
        <v>174.4958121</v>
      </c>
      <c r="C88" s="20">
        <f t="shared" si="6"/>
        <v>20.67181208</v>
      </c>
      <c r="D88" s="31">
        <f t="shared" si="3"/>
        <v>640.8261744</v>
      </c>
      <c r="E88" s="17">
        <f t="shared" si="7"/>
        <v>74</v>
      </c>
      <c r="F88" s="32">
        <f t="shared" si="4"/>
        <v>2112.150757</v>
      </c>
      <c r="G88" s="31">
        <f t="shared" si="5"/>
        <v>1471.324583</v>
      </c>
      <c r="J88" s="33">
        <v>45659.0</v>
      </c>
    </row>
    <row r="89">
      <c r="A89" s="30">
        <f t="shared" si="1"/>
        <v>0.1175400109</v>
      </c>
      <c r="B89" s="20">
        <f t="shared" si="2"/>
        <v>174.3127189</v>
      </c>
      <c r="C89" s="20">
        <f t="shared" si="6"/>
        <v>20.48871888</v>
      </c>
      <c r="D89" s="31">
        <f t="shared" si="3"/>
        <v>635.1502854</v>
      </c>
      <c r="E89" s="17">
        <f t="shared" si="7"/>
        <v>75</v>
      </c>
      <c r="F89" s="32">
        <f t="shared" si="4"/>
        <v>2111.15416</v>
      </c>
      <c r="G89" s="31">
        <f t="shared" si="5"/>
        <v>1476.003874</v>
      </c>
      <c r="J89" s="27">
        <v>45660.0</v>
      </c>
    </row>
    <row r="90">
      <c r="A90" s="30">
        <f t="shared" si="1"/>
        <v>0.1166203521</v>
      </c>
      <c r="B90" s="20">
        <f t="shared" si="2"/>
        <v>174.1312474</v>
      </c>
      <c r="C90" s="20">
        <f t="shared" si="6"/>
        <v>20.30724737</v>
      </c>
      <c r="D90" s="31">
        <f t="shared" si="3"/>
        <v>629.5246686</v>
      </c>
      <c r="E90" s="17">
        <f t="shared" si="7"/>
        <v>76</v>
      </c>
      <c r="F90" s="32">
        <f t="shared" si="4"/>
        <v>2110.166389</v>
      </c>
      <c r="G90" s="31">
        <f t="shared" si="5"/>
        <v>1480.641721</v>
      </c>
      <c r="J90" s="33">
        <v>45661.0</v>
      </c>
    </row>
    <row r="91">
      <c r="A91" s="30">
        <f t="shared" si="1"/>
        <v>0.1157069453</v>
      </c>
      <c r="B91" s="20">
        <f t="shared" si="2"/>
        <v>173.9513832</v>
      </c>
      <c r="C91" s="20">
        <f t="shared" si="6"/>
        <v>20.12738318</v>
      </c>
      <c r="D91" s="31">
        <f t="shared" si="3"/>
        <v>623.9488787</v>
      </c>
      <c r="E91" s="17">
        <f t="shared" si="7"/>
        <v>77</v>
      </c>
      <c r="F91" s="32">
        <f t="shared" si="4"/>
        <v>2109.187368</v>
      </c>
      <c r="G91" s="31">
        <f t="shared" si="5"/>
        <v>1485.238489</v>
      </c>
      <c r="J91" s="27">
        <v>45662.0</v>
      </c>
    </row>
    <row r="92">
      <c r="A92" s="30">
        <f t="shared" si="1"/>
        <v>0.114799763</v>
      </c>
      <c r="B92" s="20">
        <f t="shared" si="2"/>
        <v>173.7731121</v>
      </c>
      <c r="C92" s="20">
        <f t="shared" si="6"/>
        <v>19.94911208</v>
      </c>
      <c r="D92" s="31">
        <f t="shared" si="3"/>
        <v>618.4224743</v>
      </c>
      <c r="E92" s="17">
        <f t="shared" si="7"/>
        <v>78</v>
      </c>
      <c r="F92" s="32">
        <f t="shared" si="4"/>
        <v>2108.217018</v>
      </c>
      <c r="G92" s="31">
        <f t="shared" si="5"/>
        <v>1489.794544</v>
      </c>
      <c r="J92" s="33">
        <v>45663.0</v>
      </c>
    </row>
    <row r="93">
      <c r="A93" s="30">
        <f t="shared" si="1"/>
        <v>0.1138987771</v>
      </c>
      <c r="B93" s="20">
        <f t="shared" si="2"/>
        <v>173.5964199</v>
      </c>
      <c r="C93" s="20">
        <f t="shared" si="6"/>
        <v>19.77241994</v>
      </c>
      <c r="D93" s="31">
        <f t="shared" si="3"/>
        <v>612.9450181</v>
      </c>
      <c r="E93" s="17">
        <f t="shared" si="7"/>
        <v>79</v>
      </c>
      <c r="F93" s="32">
        <f t="shared" si="4"/>
        <v>2107.255262</v>
      </c>
      <c r="G93" s="31">
        <f t="shared" si="5"/>
        <v>1494.310244</v>
      </c>
      <c r="J93" s="27">
        <v>45664.0</v>
      </c>
    </row>
    <row r="94">
      <c r="A94" s="30">
        <f t="shared" si="1"/>
        <v>0.1130039598</v>
      </c>
      <c r="B94" s="20">
        <f t="shared" si="2"/>
        <v>173.4212928</v>
      </c>
      <c r="C94" s="20">
        <f t="shared" si="6"/>
        <v>19.59729279</v>
      </c>
      <c r="D94" s="31">
        <f t="shared" si="3"/>
        <v>607.5160765</v>
      </c>
      <c r="E94" s="17">
        <f t="shared" si="7"/>
        <v>80</v>
      </c>
      <c r="F94" s="32">
        <f t="shared" si="4"/>
        <v>2106.302025</v>
      </c>
      <c r="G94" s="31">
        <f t="shared" si="5"/>
        <v>1498.785949</v>
      </c>
      <c r="J94" s="33">
        <v>45665.0</v>
      </c>
    </row>
    <row r="95">
      <c r="A95" s="30">
        <f t="shared" si="1"/>
        <v>0.1121152829</v>
      </c>
      <c r="B95" s="20">
        <f t="shared" si="2"/>
        <v>173.2477168</v>
      </c>
      <c r="C95" s="20">
        <f t="shared" si="6"/>
        <v>19.42371677</v>
      </c>
      <c r="D95" s="31">
        <f t="shared" si="3"/>
        <v>602.1352199</v>
      </c>
      <c r="E95" s="17">
        <f t="shared" si="7"/>
        <v>81</v>
      </c>
      <c r="F95" s="32">
        <f t="shared" si="4"/>
        <v>2105.357231</v>
      </c>
      <c r="G95" s="31">
        <f t="shared" si="5"/>
        <v>1503.222011</v>
      </c>
      <c r="J95" s="27">
        <v>45666.0</v>
      </c>
    </row>
    <row r="96">
      <c r="A96" s="30">
        <f t="shared" si="1"/>
        <v>0.1112327182</v>
      </c>
      <c r="B96" s="20">
        <f t="shared" si="2"/>
        <v>173.0756781</v>
      </c>
      <c r="C96" s="20">
        <f t="shared" si="6"/>
        <v>19.25167814</v>
      </c>
      <c r="D96" s="31">
        <f t="shared" si="3"/>
        <v>596.8020222</v>
      </c>
      <c r="E96" s="17">
        <f t="shared" si="7"/>
        <v>82</v>
      </c>
      <c r="F96" s="32">
        <f t="shared" si="4"/>
        <v>2104.420805</v>
      </c>
      <c r="G96" s="31">
        <f t="shared" si="5"/>
        <v>1507.618783</v>
      </c>
      <c r="J96" s="33">
        <v>45667.0</v>
      </c>
    </row>
    <row r="97">
      <c r="A97" s="30">
        <f t="shared" si="1"/>
        <v>0.1103562376</v>
      </c>
      <c r="B97" s="20">
        <f t="shared" si="2"/>
        <v>172.9051633</v>
      </c>
      <c r="C97" s="20">
        <f t="shared" si="6"/>
        <v>19.08116327</v>
      </c>
      <c r="D97" s="31">
        <f t="shared" si="3"/>
        <v>591.5160614</v>
      </c>
      <c r="E97" s="17">
        <f t="shared" si="7"/>
        <v>83</v>
      </c>
      <c r="F97" s="32">
        <f t="shared" si="4"/>
        <v>2103.492673</v>
      </c>
      <c r="G97" s="31">
        <f t="shared" si="5"/>
        <v>1511.976611</v>
      </c>
      <c r="J97" s="27">
        <v>45668.0</v>
      </c>
    </row>
    <row r="98">
      <c r="A98" s="30">
        <f t="shared" si="1"/>
        <v>0.1094858125</v>
      </c>
      <c r="B98" s="20">
        <f t="shared" si="2"/>
        <v>172.7361587</v>
      </c>
      <c r="C98" s="20">
        <f t="shared" si="6"/>
        <v>18.91215868</v>
      </c>
      <c r="D98" s="31">
        <f t="shared" si="3"/>
        <v>586.2769192</v>
      </c>
      <c r="E98" s="17">
        <f t="shared" si="7"/>
        <v>84</v>
      </c>
      <c r="F98" s="32">
        <f t="shared" si="4"/>
        <v>2102.572761</v>
      </c>
      <c r="G98" s="31">
        <f t="shared" si="5"/>
        <v>1516.295842</v>
      </c>
      <c r="J98" s="33">
        <v>45669.0</v>
      </c>
    </row>
    <row r="99">
      <c r="A99" s="30">
        <f t="shared" si="1"/>
        <v>0.1086214146</v>
      </c>
      <c r="B99" s="20">
        <f t="shared" si="2"/>
        <v>172.568651</v>
      </c>
      <c r="C99" s="20">
        <f t="shared" si="6"/>
        <v>18.74465099</v>
      </c>
      <c r="D99" s="31">
        <f t="shared" si="3"/>
        <v>581.0841807</v>
      </c>
      <c r="E99" s="17">
        <f t="shared" si="7"/>
        <v>85</v>
      </c>
      <c r="F99" s="32">
        <f t="shared" si="4"/>
        <v>2101.660998</v>
      </c>
      <c r="G99" s="31">
        <f t="shared" si="5"/>
        <v>1520.576817</v>
      </c>
      <c r="J99" s="27">
        <v>45670.0</v>
      </c>
    </row>
    <row r="100">
      <c r="A100" s="30">
        <f t="shared" si="1"/>
        <v>0.1077630154</v>
      </c>
      <c r="B100" s="20">
        <f t="shared" si="2"/>
        <v>172.4026269</v>
      </c>
      <c r="C100" s="20">
        <f t="shared" si="6"/>
        <v>18.57862694</v>
      </c>
      <c r="D100" s="31">
        <f t="shared" si="3"/>
        <v>575.9374351</v>
      </c>
      <c r="E100" s="17">
        <f t="shared" si="7"/>
        <v>86</v>
      </c>
      <c r="F100" s="32">
        <f t="shared" si="4"/>
        <v>2100.75731</v>
      </c>
      <c r="G100" s="31">
        <f t="shared" si="5"/>
        <v>1524.819875</v>
      </c>
      <c r="J100" s="33">
        <v>45671.0</v>
      </c>
    </row>
    <row r="101">
      <c r="A101" s="30">
        <f t="shared" si="1"/>
        <v>0.1069105862</v>
      </c>
      <c r="B101" s="20">
        <f t="shared" si="2"/>
        <v>172.2380734</v>
      </c>
      <c r="C101" s="20">
        <f t="shared" si="6"/>
        <v>18.41407339</v>
      </c>
      <c r="D101" s="31">
        <f t="shared" si="3"/>
        <v>570.836275</v>
      </c>
      <c r="E101" s="17">
        <f t="shared" si="7"/>
        <v>87</v>
      </c>
      <c r="F101" s="32">
        <f t="shared" si="4"/>
        <v>2099.861626</v>
      </c>
      <c r="G101" s="31">
        <f t="shared" si="5"/>
        <v>1529.025351</v>
      </c>
      <c r="J101" s="27">
        <v>45672.0</v>
      </c>
    </row>
    <row r="102">
      <c r="A102" s="30">
        <f t="shared" si="1"/>
        <v>0.1060640983</v>
      </c>
      <c r="B102" s="20">
        <f t="shared" si="2"/>
        <v>172.0749773</v>
      </c>
      <c r="C102" s="20">
        <f t="shared" si="6"/>
        <v>18.25097731</v>
      </c>
      <c r="D102" s="31">
        <f t="shared" si="3"/>
        <v>565.7802966</v>
      </c>
      <c r="E102" s="17">
        <f t="shared" si="7"/>
        <v>88</v>
      </c>
      <c r="F102" s="32">
        <f t="shared" si="4"/>
        <v>2098.973875</v>
      </c>
      <c r="G102" s="31">
        <f t="shared" si="5"/>
        <v>1533.193579</v>
      </c>
      <c r="J102" s="33">
        <v>45673.0</v>
      </c>
    </row>
    <row r="103">
      <c r="A103" s="30">
        <f t="shared" si="1"/>
        <v>0.105223523</v>
      </c>
      <c r="B103" s="20">
        <f t="shared" si="2"/>
        <v>171.9133258</v>
      </c>
      <c r="C103" s="20">
        <f t="shared" si="6"/>
        <v>18.0893258</v>
      </c>
      <c r="D103" s="31">
        <f t="shared" si="3"/>
        <v>560.7690997</v>
      </c>
      <c r="E103" s="17">
        <f t="shared" si="7"/>
        <v>89</v>
      </c>
      <c r="F103" s="32">
        <f t="shared" si="4"/>
        <v>2098.093987</v>
      </c>
      <c r="G103" s="31">
        <f t="shared" si="5"/>
        <v>1537.324888</v>
      </c>
      <c r="J103" s="27">
        <v>45674.0</v>
      </c>
    </row>
    <row r="104">
      <c r="A104" s="30">
        <f t="shared" si="1"/>
        <v>0.1043888315</v>
      </c>
      <c r="B104" s="20">
        <f t="shared" si="2"/>
        <v>171.7531061</v>
      </c>
      <c r="C104" s="20">
        <f t="shared" si="6"/>
        <v>17.92910605</v>
      </c>
      <c r="D104" s="31">
        <f t="shared" si="3"/>
        <v>555.8022876</v>
      </c>
      <c r="E104" s="17">
        <f t="shared" si="7"/>
        <v>90</v>
      </c>
      <c r="F104" s="32">
        <f t="shared" si="4"/>
        <v>2097.221893</v>
      </c>
      <c r="G104" s="31">
        <f t="shared" si="5"/>
        <v>1541.419605</v>
      </c>
      <c r="J104" s="33">
        <v>45675.0</v>
      </c>
    </row>
    <row r="105">
      <c r="A105" s="30">
        <f t="shared" si="1"/>
        <v>0.1035599949</v>
      </c>
      <c r="B105" s="20">
        <f t="shared" si="2"/>
        <v>171.5943054</v>
      </c>
      <c r="C105" s="20">
        <f t="shared" si="6"/>
        <v>17.7703054</v>
      </c>
      <c r="D105" s="31">
        <f t="shared" si="3"/>
        <v>550.8794674</v>
      </c>
      <c r="E105" s="17">
        <f t="shared" si="7"/>
        <v>91</v>
      </c>
      <c r="F105" s="32">
        <f t="shared" si="4"/>
        <v>2096.357523</v>
      </c>
      <c r="G105" s="31">
        <f t="shared" si="5"/>
        <v>1545.478055</v>
      </c>
      <c r="J105" s="27">
        <v>45676.0</v>
      </c>
    </row>
    <row r="106">
      <c r="A106" s="30">
        <f t="shared" si="1"/>
        <v>0.1027369843</v>
      </c>
      <c r="B106" s="20">
        <f t="shared" si="2"/>
        <v>171.4369113</v>
      </c>
      <c r="C106" s="20">
        <f t="shared" si="6"/>
        <v>17.61291127</v>
      </c>
      <c r="D106" s="31">
        <f t="shared" si="3"/>
        <v>546.0002492</v>
      </c>
      <c r="E106" s="17">
        <f t="shared" si="7"/>
        <v>92</v>
      </c>
      <c r="F106" s="32">
        <f t="shared" si="4"/>
        <v>2095.500808</v>
      </c>
      <c r="G106" s="31">
        <f t="shared" si="5"/>
        <v>1549.500559</v>
      </c>
      <c r="J106" s="33">
        <v>45677.0</v>
      </c>
    </row>
    <row r="107">
      <c r="A107" s="30">
        <f t="shared" si="1"/>
        <v>0.1019197707</v>
      </c>
      <c r="B107" s="20">
        <f t="shared" si="2"/>
        <v>171.2809112</v>
      </c>
      <c r="C107" s="20">
        <f t="shared" si="6"/>
        <v>17.45691119</v>
      </c>
      <c r="D107" s="31">
        <f t="shared" si="3"/>
        <v>541.164247</v>
      </c>
      <c r="E107" s="17">
        <f t="shared" si="7"/>
        <v>93</v>
      </c>
      <c r="F107" s="32">
        <f t="shared" si="4"/>
        <v>2094.651682</v>
      </c>
      <c r="G107" s="31">
        <f t="shared" si="5"/>
        <v>1553.487435</v>
      </c>
      <c r="J107" s="27">
        <v>45678.0</v>
      </c>
    </row>
    <row r="108">
      <c r="A108" s="30">
        <f t="shared" si="1"/>
        <v>0.101108325</v>
      </c>
      <c r="B108" s="20">
        <f t="shared" si="2"/>
        <v>171.1262928</v>
      </c>
      <c r="C108" s="20">
        <f t="shared" si="6"/>
        <v>17.30229284</v>
      </c>
      <c r="D108" s="31">
        <f t="shared" si="3"/>
        <v>536.371078</v>
      </c>
      <c r="E108" s="17">
        <f t="shared" si="7"/>
        <v>94</v>
      </c>
      <c r="F108" s="32">
        <f t="shared" si="4"/>
        <v>2093.810077</v>
      </c>
      <c r="G108" s="31">
        <f t="shared" si="5"/>
        <v>1557.438999</v>
      </c>
      <c r="J108" s="33">
        <v>45679.0</v>
      </c>
    </row>
    <row r="109">
      <c r="A109" s="30">
        <f t="shared" si="1"/>
        <v>0.1003026182</v>
      </c>
      <c r="B109" s="20">
        <f t="shared" si="2"/>
        <v>170.973044</v>
      </c>
      <c r="C109" s="20">
        <f t="shared" si="6"/>
        <v>17.14904396</v>
      </c>
      <c r="D109" s="31">
        <f t="shared" si="3"/>
        <v>531.6203627</v>
      </c>
      <c r="E109" s="17">
        <f t="shared" si="7"/>
        <v>95</v>
      </c>
      <c r="F109" s="32">
        <f t="shared" si="4"/>
        <v>2092.975925</v>
      </c>
      <c r="G109" s="31">
        <f t="shared" si="5"/>
        <v>1561.355563</v>
      </c>
      <c r="J109" s="27">
        <v>45680.0</v>
      </c>
    </row>
    <row r="110">
      <c r="A110" s="30">
        <f t="shared" si="1"/>
        <v>0.09950262122</v>
      </c>
      <c r="B110" s="20">
        <f t="shared" si="2"/>
        <v>170.8211524</v>
      </c>
      <c r="C110" s="20">
        <f t="shared" si="6"/>
        <v>16.99715243</v>
      </c>
      <c r="D110" s="31">
        <f t="shared" si="3"/>
        <v>526.9117252</v>
      </c>
      <c r="E110" s="17">
        <f t="shared" si="7"/>
        <v>96</v>
      </c>
      <c r="F110" s="32">
        <f t="shared" si="4"/>
        <v>2092.149162</v>
      </c>
      <c r="G110" s="31">
        <f t="shared" si="5"/>
        <v>1565.237437</v>
      </c>
      <c r="J110" s="33">
        <v>45681.0</v>
      </c>
    </row>
    <row r="111">
      <c r="A111" s="30">
        <f t="shared" si="1"/>
        <v>0.0987083048</v>
      </c>
      <c r="B111" s="20">
        <f t="shared" si="2"/>
        <v>170.6706062</v>
      </c>
      <c r="C111" s="20">
        <f t="shared" si="6"/>
        <v>16.84660622</v>
      </c>
      <c r="D111" s="31">
        <f t="shared" si="3"/>
        <v>522.2447928</v>
      </c>
      <c r="E111" s="17">
        <f t="shared" si="7"/>
        <v>97</v>
      </c>
      <c r="F111" s="32">
        <f t="shared" si="4"/>
        <v>2091.329722</v>
      </c>
      <c r="G111" s="31">
        <f t="shared" si="5"/>
        <v>1569.084929</v>
      </c>
      <c r="J111" s="27">
        <v>45682.0</v>
      </c>
    </row>
    <row r="112">
      <c r="A112" s="30">
        <f t="shared" si="1"/>
        <v>0.09791963979</v>
      </c>
      <c r="B112" s="20">
        <f t="shared" si="2"/>
        <v>170.5213934</v>
      </c>
      <c r="C112" s="20">
        <f t="shared" si="6"/>
        <v>16.69739342</v>
      </c>
      <c r="D112" s="31">
        <f t="shared" si="3"/>
        <v>517.6191961</v>
      </c>
      <c r="E112" s="17">
        <f t="shared" si="7"/>
        <v>98</v>
      </c>
      <c r="F112" s="32">
        <f t="shared" si="4"/>
        <v>2090.51754</v>
      </c>
      <c r="G112" s="31">
        <f t="shared" si="5"/>
        <v>1572.898344</v>
      </c>
      <c r="J112" s="27">
        <v>45683.0</v>
      </c>
    </row>
    <row r="113">
      <c r="A113" s="30">
        <f t="shared" si="1"/>
        <v>0.09713659698</v>
      </c>
      <c r="B113" s="20">
        <f t="shared" si="2"/>
        <v>170.3735022</v>
      </c>
      <c r="C113" s="20">
        <f t="shared" si="6"/>
        <v>16.54950222</v>
      </c>
      <c r="D113" s="31">
        <f t="shared" si="3"/>
        <v>513.0345689</v>
      </c>
      <c r="E113" s="17">
        <f t="shared" si="7"/>
        <v>99</v>
      </c>
      <c r="F113" s="32">
        <f t="shared" si="4"/>
        <v>2089.712551</v>
      </c>
      <c r="G113" s="31">
        <f t="shared" si="5"/>
        <v>1576.677982</v>
      </c>
      <c r="J113" s="27">
        <v>45684.0</v>
      </c>
    </row>
    <row r="114">
      <c r="A114" s="30">
        <f t="shared" si="1"/>
        <v>0.09635914712</v>
      </c>
      <c r="B114" s="20">
        <f t="shared" si="2"/>
        <v>170.2269209</v>
      </c>
      <c r="C114" s="20">
        <f t="shared" si="6"/>
        <v>16.40292092</v>
      </c>
      <c r="D114" s="31">
        <f t="shared" si="3"/>
        <v>508.4905484</v>
      </c>
      <c r="E114" s="17">
        <f t="shared" si="7"/>
        <v>100</v>
      </c>
      <c r="F114" s="32">
        <f t="shared" si="4"/>
        <v>2088.914692</v>
      </c>
      <c r="G114" s="31">
        <f t="shared" si="5"/>
        <v>1580.424143</v>
      </c>
      <c r="J114" s="27">
        <v>45685.0</v>
      </c>
    </row>
    <row r="115">
      <c r="A115" s="30">
        <f t="shared" si="1"/>
        <v>0.09558726094</v>
      </c>
      <c r="B115" s="20">
        <f t="shared" si="2"/>
        <v>170.0816379</v>
      </c>
      <c r="C115" s="20">
        <f t="shared" si="6"/>
        <v>16.2576379</v>
      </c>
      <c r="D115" s="31">
        <f t="shared" si="3"/>
        <v>503.986775</v>
      </c>
      <c r="E115" s="17">
        <f t="shared" si="7"/>
        <v>101</v>
      </c>
      <c r="F115" s="32">
        <f t="shared" si="4"/>
        <v>2088.1239</v>
      </c>
      <c r="G115" s="31">
        <f t="shared" si="5"/>
        <v>1584.137125</v>
      </c>
      <c r="J115" s="27">
        <v>45686.0</v>
      </c>
    </row>
    <row r="116">
      <c r="A116" s="30">
        <f t="shared" si="1"/>
        <v>0.09482090914</v>
      </c>
      <c r="B116" s="20">
        <f t="shared" si="2"/>
        <v>169.9376417</v>
      </c>
      <c r="C116" s="20">
        <f t="shared" si="6"/>
        <v>16.11364168</v>
      </c>
      <c r="D116" s="31">
        <f t="shared" si="3"/>
        <v>499.5228921</v>
      </c>
      <c r="E116" s="17">
        <f t="shared" si="7"/>
        <v>102</v>
      </c>
      <c r="F116" s="32">
        <f t="shared" si="4"/>
        <v>2087.340112</v>
      </c>
      <c r="G116" s="31">
        <f t="shared" si="5"/>
        <v>1587.81722</v>
      </c>
      <c r="J116" s="27">
        <v>45687.0</v>
      </c>
    </row>
    <row r="117">
      <c r="A117" s="30">
        <f t="shared" si="1"/>
        <v>0.09406006243</v>
      </c>
      <c r="B117" s="20">
        <f t="shared" si="2"/>
        <v>169.7949209</v>
      </c>
      <c r="C117" s="20">
        <f t="shared" si="6"/>
        <v>15.97092086</v>
      </c>
      <c r="D117" s="31">
        <f t="shared" si="3"/>
        <v>495.0985465</v>
      </c>
      <c r="E117" s="17">
        <f t="shared" si="7"/>
        <v>103</v>
      </c>
      <c r="F117" s="32">
        <f t="shared" si="4"/>
        <v>2086.563266</v>
      </c>
      <c r="G117" s="31">
        <f t="shared" si="5"/>
        <v>1591.464719</v>
      </c>
      <c r="J117" s="27">
        <v>45688.0</v>
      </c>
    </row>
    <row r="118">
      <c r="A118" s="30">
        <f t="shared" si="1"/>
        <v>0.09330469147</v>
      </c>
      <c r="B118" s="20">
        <f t="shared" si="2"/>
        <v>169.6534641</v>
      </c>
      <c r="C118" s="20">
        <f t="shared" si="6"/>
        <v>15.82946413</v>
      </c>
      <c r="D118" s="31">
        <f t="shared" si="3"/>
        <v>490.713388</v>
      </c>
      <c r="E118" s="17">
        <f t="shared" si="7"/>
        <v>104</v>
      </c>
      <c r="F118" s="32">
        <f t="shared" si="4"/>
        <v>2085.793301</v>
      </c>
      <c r="G118" s="31">
        <f t="shared" si="5"/>
        <v>1595.079913</v>
      </c>
      <c r="J118" s="27">
        <v>45689.0</v>
      </c>
    </row>
    <row r="119">
      <c r="A119" s="30">
        <f t="shared" si="1"/>
        <v>0.09255476695</v>
      </c>
      <c r="B119" s="20">
        <f t="shared" si="2"/>
        <v>169.5132603</v>
      </c>
      <c r="C119" s="20">
        <f t="shared" si="6"/>
        <v>15.6892603</v>
      </c>
      <c r="D119" s="31">
        <f t="shared" si="3"/>
        <v>486.3670694</v>
      </c>
      <c r="E119" s="17">
        <f t="shared" si="7"/>
        <v>105</v>
      </c>
      <c r="F119" s="32">
        <f t="shared" si="4"/>
        <v>2085.030155</v>
      </c>
      <c r="G119" s="31">
        <f t="shared" si="5"/>
        <v>1598.663086</v>
      </c>
      <c r="J119" s="27">
        <v>45690.0</v>
      </c>
    </row>
    <row r="120">
      <c r="A120" s="30">
        <f t="shared" si="1"/>
        <v>0.09181025953</v>
      </c>
      <c r="B120" s="20">
        <f t="shared" si="2"/>
        <v>169.3742983</v>
      </c>
      <c r="C120" s="20">
        <f t="shared" si="6"/>
        <v>15.55029828</v>
      </c>
      <c r="D120" s="31">
        <f t="shared" si="3"/>
        <v>482.0592468</v>
      </c>
      <c r="E120" s="17">
        <f t="shared" si="7"/>
        <v>106</v>
      </c>
      <c r="F120" s="32">
        <f t="shared" si="4"/>
        <v>2084.273769</v>
      </c>
      <c r="G120" s="31">
        <f t="shared" si="5"/>
        <v>1602.214522</v>
      </c>
      <c r="J120" s="27">
        <v>45691.0</v>
      </c>
    </row>
    <row r="121">
      <c r="A121" s="30">
        <f t="shared" si="1"/>
        <v>0.09107113986</v>
      </c>
      <c r="B121" s="20">
        <f t="shared" si="2"/>
        <v>169.2365671</v>
      </c>
      <c r="C121" s="20">
        <f t="shared" si="6"/>
        <v>15.41256707</v>
      </c>
      <c r="D121" s="31">
        <f t="shared" si="3"/>
        <v>477.7895792</v>
      </c>
      <c r="E121" s="17">
        <f t="shared" si="7"/>
        <v>107</v>
      </c>
      <c r="F121" s="32">
        <f t="shared" si="4"/>
        <v>2083.524082</v>
      </c>
      <c r="G121" s="31">
        <f t="shared" si="5"/>
        <v>1605.734503</v>
      </c>
      <c r="J121" s="27">
        <v>45692.0</v>
      </c>
    </row>
    <row r="122">
      <c r="A122" s="30">
        <f t="shared" si="1"/>
        <v>0.09033737861</v>
      </c>
      <c r="B122" s="20">
        <f t="shared" si="2"/>
        <v>169.1000558</v>
      </c>
      <c r="C122" s="20">
        <f t="shared" si="6"/>
        <v>15.27605576</v>
      </c>
      <c r="D122" s="31">
        <f t="shared" si="3"/>
        <v>473.5577286</v>
      </c>
      <c r="E122" s="17">
        <f t="shared" si="7"/>
        <v>108</v>
      </c>
      <c r="F122" s="32">
        <f t="shared" si="4"/>
        <v>2082.781035</v>
      </c>
      <c r="G122" s="31">
        <f t="shared" si="5"/>
        <v>1609.223307</v>
      </c>
      <c r="J122" s="27">
        <v>45693.0</v>
      </c>
    </row>
    <row r="123">
      <c r="A123" s="30">
        <f t="shared" si="1"/>
        <v>0.08960894645</v>
      </c>
      <c r="B123" s="20">
        <f t="shared" si="2"/>
        <v>168.9647536</v>
      </c>
      <c r="C123" s="20">
        <f t="shared" si="6"/>
        <v>15.14075355</v>
      </c>
      <c r="D123" s="31">
        <f t="shared" si="3"/>
        <v>469.3633601</v>
      </c>
      <c r="E123" s="17">
        <f t="shared" si="7"/>
        <v>109</v>
      </c>
      <c r="F123" s="32">
        <f t="shared" si="4"/>
        <v>2082.04457</v>
      </c>
      <c r="G123" s="31">
        <f t="shared" si="5"/>
        <v>1612.68121</v>
      </c>
      <c r="J123" s="27">
        <v>45694.0</v>
      </c>
    </row>
    <row r="124">
      <c r="A124" s="30">
        <f t="shared" si="1"/>
        <v>0.08888581403</v>
      </c>
      <c r="B124" s="20">
        <f t="shared" si="2"/>
        <v>168.8306497</v>
      </c>
      <c r="C124" s="20">
        <f t="shared" si="6"/>
        <v>15.00664974</v>
      </c>
      <c r="D124" s="31">
        <f t="shared" si="3"/>
        <v>465.2061418</v>
      </c>
      <c r="E124" s="17">
        <f t="shared" si="7"/>
        <v>110</v>
      </c>
      <c r="F124" s="32">
        <f t="shared" si="4"/>
        <v>2081.314627</v>
      </c>
      <c r="G124" s="31">
        <f t="shared" si="5"/>
        <v>1616.108486</v>
      </c>
      <c r="J124" s="27">
        <v>45695.0</v>
      </c>
    </row>
    <row r="125">
      <c r="A125" s="30">
        <f t="shared" si="1"/>
        <v>0.08816795205</v>
      </c>
      <c r="B125" s="20">
        <f t="shared" si="2"/>
        <v>168.6977337</v>
      </c>
      <c r="C125" s="20">
        <f t="shared" si="6"/>
        <v>14.8737337</v>
      </c>
      <c r="D125" s="31">
        <f t="shared" si="3"/>
        <v>461.0857446</v>
      </c>
      <c r="E125" s="17">
        <f t="shared" si="7"/>
        <v>111</v>
      </c>
      <c r="F125" s="32">
        <f t="shared" si="4"/>
        <v>2080.59115</v>
      </c>
      <c r="G125" s="31">
        <f t="shared" si="5"/>
        <v>1619.505406</v>
      </c>
      <c r="J125" s="27">
        <v>45696.0</v>
      </c>
    </row>
    <row r="126">
      <c r="A126" s="30">
        <f t="shared" si="1"/>
        <v>0.08745533118</v>
      </c>
      <c r="B126" s="20">
        <f t="shared" si="2"/>
        <v>168.5659949</v>
      </c>
      <c r="C126" s="20">
        <f t="shared" si="6"/>
        <v>14.74199491</v>
      </c>
      <c r="D126" s="31">
        <f t="shared" si="3"/>
        <v>457.0018422</v>
      </c>
      <c r="E126" s="17">
        <f t="shared" si="7"/>
        <v>112</v>
      </c>
      <c r="F126" s="32">
        <f t="shared" si="4"/>
        <v>2079.874081</v>
      </c>
      <c r="G126" s="31">
        <f t="shared" si="5"/>
        <v>1622.872239</v>
      </c>
      <c r="J126" s="27">
        <v>45697.0</v>
      </c>
    </row>
    <row r="127">
      <c r="A127" s="30">
        <f t="shared" si="1"/>
        <v>0.08674792214</v>
      </c>
      <c r="B127" s="20">
        <f t="shared" si="2"/>
        <v>168.435423</v>
      </c>
      <c r="C127" s="20">
        <f t="shared" si="6"/>
        <v>14.61142296</v>
      </c>
      <c r="D127" s="31">
        <f t="shared" si="3"/>
        <v>452.9541116</v>
      </c>
      <c r="E127" s="17">
        <f t="shared" si="7"/>
        <v>113</v>
      </c>
      <c r="F127" s="32">
        <f t="shared" si="4"/>
        <v>2079.163363</v>
      </c>
      <c r="G127" s="31">
        <f t="shared" si="5"/>
        <v>1626.209251</v>
      </c>
      <c r="J127" s="27">
        <v>45698.0</v>
      </c>
    </row>
    <row r="128">
      <c r="A128" s="30">
        <f t="shared" si="1"/>
        <v>0.08604569564</v>
      </c>
      <c r="B128" s="20">
        <f t="shared" si="2"/>
        <v>168.3060075</v>
      </c>
      <c r="C128" s="20">
        <f t="shared" si="6"/>
        <v>14.4820075</v>
      </c>
      <c r="D128" s="31">
        <f t="shared" si="3"/>
        <v>448.9422324</v>
      </c>
      <c r="E128" s="17">
        <f t="shared" si="7"/>
        <v>114</v>
      </c>
      <c r="F128" s="32">
        <f t="shared" si="4"/>
        <v>2078.458939</v>
      </c>
      <c r="G128" s="31">
        <f t="shared" si="5"/>
        <v>1629.516707</v>
      </c>
      <c r="J128" s="27">
        <v>45699.0</v>
      </c>
    </row>
    <row r="129">
      <c r="A129" s="30">
        <f t="shared" si="1"/>
        <v>0.08534862243</v>
      </c>
      <c r="B129" s="20">
        <f t="shared" si="2"/>
        <v>168.1777383</v>
      </c>
      <c r="C129" s="20">
        <f t="shared" si="6"/>
        <v>14.35373829</v>
      </c>
      <c r="D129" s="31">
        <f t="shared" si="3"/>
        <v>444.9658869</v>
      </c>
      <c r="E129" s="17">
        <f t="shared" si="7"/>
        <v>115</v>
      </c>
      <c r="F129" s="32">
        <f t="shared" si="4"/>
        <v>2077.760755</v>
      </c>
      <c r="G129" s="31">
        <f t="shared" si="5"/>
        <v>1632.794868</v>
      </c>
      <c r="J129" s="27">
        <v>45700.0</v>
      </c>
    </row>
    <row r="130">
      <c r="A130" s="30">
        <f t="shared" si="1"/>
        <v>0.08465667327</v>
      </c>
      <c r="B130" s="20">
        <f t="shared" si="2"/>
        <v>168.0506052</v>
      </c>
      <c r="C130" s="20">
        <f t="shared" si="6"/>
        <v>14.22660518</v>
      </c>
      <c r="D130" s="31">
        <f t="shared" si="3"/>
        <v>441.0247605</v>
      </c>
      <c r="E130" s="17">
        <f t="shared" si="7"/>
        <v>116</v>
      </c>
      <c r="F130" s="32">
        <f t="shared" si="4"/>
        <v>2077.068755</v>
      </c>
      <c r="G130" s="31">
        <f t="shared" si="5"/>
        <v>1636.043995</v>
      </c>
      <c r="J130" s="27">
        <v>45701.0</v>
      </c>
    </row>
    <row r="131">
      <c r="A131" s="30">
        <f t="shared" si="1"/>
        <v>0.08396981896</v>
      </c>
      <c r="B131" s="20">
        <f t="shared" si="2"/>
        <v>167.9245981</v>
      </c>
      <c r="C131" s="20">
        <f t="shared" si="6"/>
        <v>14.1005981</v>
      </c>
      <c r="D131" s="31">
        <f t="shared" si="3"/>
        <v>437.1185411</v>
      </c>
      <c r="E131" s="17">
        <f t="shared" si="7"/>
        <v>117</v>
      </c>
      <c r="F131" s="32">
        <f t="shared" si="4"/>
        <v>2076.382884</v>
      </c>
      <c r="G131" s="31">
        <f t="shared" si="5"/>
        <v>1639.264343</v>
      </c>
      <c r="J131" s="27">
        <v>45702.0</v>
      </c>
    </row>
    <row r="132">
      <c r="A132" s="30">
        <f t="shared" si="1"/>
        <v>0.08328803031</v>
      </c>
      <c r="B132" s="20">
        <f t="shared" si="2"/>
        <v>167.7997071</v>
      </c>
      <c r="C132" s="20">
        <f t="shared" si="6"/>
        <v>13.97570709</v>
      </c>
      <c r="D132" s="31">
        <f t="shared" si="3"/>
        <v>433.2469198</v>
      </c>
      <c r="E132" s="17">
        <f t="shared" si="7"/>
        <v>118</v>
      </c>
      <c r="F132" s="32">
        <f t="shared" si="4"/>
        <v>2075.703088</v>
      </c>
      <c r="G132" s="31">
        <f t="shared" si="5"/>
        <v>1642.456168</v>
      </c>
      <c r="J132" s="27">
        <v>45703.0</v>
      </c>
    </row>
    <row r="133">
      <c r="A133" s="30">
        <f t="shared" si="1"/>
        <v>0.08261127817</v>
      </c>
      <c r="B133" s="20">
        <f t="shared" si="2"/>
        <v>167.6759223</v>
      </c>
      <c r="C133" s="20">
        <f t="shared" si="6"/>
        <v>13.85192226</v>
      </c>
      <c r="D133" s="31">
        <f t="shared" si="3"/>
        <v>429.4095899</v>
      </c>
      <c r="E133" s="17">
        <f t="shared" si="7"/>
        <v>119</v>
      </c>
      <c r="F133" s="32">
        <f t="shared" si="4"/>
        <v>2075.029313</v>
      </c>
      <c r="G133" s="31">
        <f t="shared" si="5"/>
        <v>1645.619723</v>
      </c>
      <c r="J133" s="27">
        <v>45704.0</v>
      </c>
    </row>
    <row r="134">
      <c r="A134" s="30">
        <f t="shared" si="1"/>
        <v>0.08193953342</v>
      </c>
      <c r="B134" s="20">
        <f t="shared" si="2"/>
        <v>167.5532338</v>
      </c>
      <c r="C134" s="20">
        <f t="shared" si="6"/>
        <v>13.7292338</v>
      </c>
      <c r="D134" s="31">
        <f t="shared" si="3"/>
        <v>425.6062478</v>
      </c>
      <c r="E134" s="17">
        <f t="shared" si="7"/>
        <v>120</v>
      </c>
      <c r="F134" s="32">
        <f t="shared" si="4"/>
        <v>2074.361506</v>
      </c>
      <c r="G134" s="31">
        <f t="shared" si="5"/>
        <v>1648.755258</v>
      </c>
      <c r="J134" s="27">
        <v>45705.0</v>
      </c>
    </row>
    <row r="135">
      <c r="A135" s="30">
        <f t="shared" si="1"/>
        <v>0.08127276699</v>
      </c>
      <c r="B135" s="20">
        <f t="shared" si="2"/>
        <v>167.431632</v>
      </c>
      <c r="C135" s="20">
        <f t="shared" si="6"/>
        <v>13.60763202</v>
      </c>
      <c r="D135" s="31">
        <f t="shared" si="3"/>
        <v>421.8365925</v>
      </c>
      <c r="E135" s="17">
        <f t="shared" si="7"/>
        <v>121</v>
      </c>
      <c r="F135" s="32">
        <f t="shared" si="4"/>
        <v>2073.699613</v>
      </c>
      <c r="G135" s="31">
        <f t="shared" si="5"/>
        <v>1651.863021</v>
      </c>
      <c r="J135" s="27">
        <v>45706.0</v>
      </c>
    </row>
    <row r="136">
      <c r="A136" s="30">
        <f t="shared" si="1"/>
        <v>0.08061094983</v>
      </c>
      <c r="B136" s="20">
        <f t="shared" si="2"/>
        <v>167.3111073</v>
      </c>
      <c r="C136" s="20">
        <f t="shared" si="6"/>
        <v>13.48710728</v>
      </c>
      <c r="D136" s="31">
        <f t="shared" si="3"/>
        <v>418.1003255</v>
      </c>
      <c r="E136" s="17">
        <f t="shared" si="7"/>
        <v>122</v>
      </c>
      <c r="F136" s="32">
        <f t="shared" si="4"/>
        <v>2073.043583</v>
      </c>
      <c r="G136" s="31">
        <f t="shared" si="5"/>
        <v>1654.943258</v>
      </c>
      <c r="J136" s="27">
        <v>45707.0</v>
      </c>
    </row>
    <row r="137">
      <c r="A137" s="30">
        <f t="shared" si="1"/>
        <v>0.07995405295</v>
      </c>
      <c r="B137" s="20">
        <f t="shared" si="2"/>
        <v>167.19165</v>
      </c>
      <c r="C137" s="20">
        <f t="shared" si="6"/>
        <v>13.36765004</v>
      </c>
      <c r="D137" s="31">
        <f t="shared" si="3"/>
        <v>414.3971512</v>
      </c>
      <c r="E137" s="17">
        <f t="shared" si="7"/>
        <v>123</v>
      </c>
      <c r="F137" s="32">
        <f t="shared" si="4"/>
        <v>2072.393364</v>
      </c>
      <c r="G137" s="31">
        <f t="shared" si="5"/>
        <v>1657.996212</v>
      </c>
      <c r="J137" s="27">
        <v>45708.0</v>
      </c>
    </row>
    <row r="138">
      <c r="A138" s="30">
        <f t="shared" si="1"/>
        <v>0.07930204737</v>
      </c>
      <c r="B138" s="20">
        <f t="shared" si="2"/>
        <v>167.0732509</v>
      </c>
      <c r="C138" s="20">
        <f t="shared" si="6"/>
        <v>13.24925085</v>
      </c>
      <c r="D138" s="31">
        <f t="shared" si="3"/>
        <v>410.7267765</v>
      </c>
      <c r="E138" s="17">
        <f t="shared" si="7"/>
        <v>124</v>
      </c>
      <c r="F138" s="32">
        <f t="shared" si="4"/>
        <v>2071.748903</v>
      </c>
      <c r="G138" s="31">
        <f t="shared" si="5"/>
        <v>1661.022127</v>
      </c>
      <c r="J138" s="27">
        <v>45709.0</v>
      </c>
    </row>
    <row r="139">
      <c r="A139" s="30"/>
      <c r="D139" s="31"/>
      <c r="F139" s="32"/>
      <c r="G139" s="31"/>
    </row>
    <row r="140">
      <c r="A140" s="30"/>
      <c r="D140" s="31"/>
      <c r="F140" s="32"/>
      <c r="G140" s="31"/>
    </row>
    <row r="141">
      <c r="A141" s="30"/>
      <c r="D141" s="31"/>
      <c r="F141" s="32"/>
      <c r="G141" s="31"/>
    </row>
    <row r="142">
      <c r="A142" s="30"/>
      <c r="D142" s="31"/>
      <c r="F142" s="32"/>
      <c r="G142" s="31"/>
    </row>
    <row r="143">
      <c r="A143" s="30"/>
      <c r="D143" s="31"/>
      <c r="F143" s="32"/>
      <c r="G143" s="31"/>
    </row>
    <row r="144">
      <c r="A144" s="30"/>
      <c r="D144" s="31"/>
      <c r="F144" s="32"/>
      <c r="G144" s="31"/>
    </row>
    <row r="145">
      <c r="A145" s="30"/>
      <c r="D145" s="31"/>
      <c r="F145" s="32"/>
      <c r="G145" s="31"/>
    </row>
    <row r="146">
      <c r="A146" s="30"/>
      <c r="D146" s="31"/>
      <c r="F146" s="32"/>
      <c r="G146" s="31"/>
    </row>
    <row r="147">
      <c r="A147" s="30"/>
      <c r="D147" s="31"/>
      <c r="F147" s="32"/>
      <c r="G147" s="31"/>
    </row>
    <row r="148">
      <c r="A148" s="30"/>
      <c r="D148" s="31"/>
      <c r="F148" s="32"/>
      <c r="G148" s="31"/>
    </row>
    <row r="149">
      <c r="A149" s="30"/>
      <c r="D149" s="31"/>
      <c r="F149" s="32"/>
      <c r="G149" s="31"/>
    </row>
    <row r="150">
      <c r="A150" s="30"/>
      <c r="D150" s="31"/>
      <c r="F150" s="32"/>
      <c r="G150" s="31"/>
    </row>
    <row r="151">
      <c r="A151" s="30"/>
      <c r="D151" s="31"/>
      <c r="F151" s="32"/>
      <c r="G151" s="31"/>
    </row>
    <row r="152">
      <c r="A152" s="30"/>
      <c r="D152" s="31"/>
      <c r="F152" s="32"/>
      <c r="G152" s="31"/>
    </row>
    <row r="153">
      <c r="A153" s="30"/>
      <c r="D153" s="31"/>
      <c r="F153" s="32"/>
      <c r="G153" s="31"/>
    </row>
    <row r="154">
      <c r="A154" s="30"/>
      <c r="D154" s="31"/>
      <c r="F154" s="32"/>
      <c r="G154" s="31"/>
    </row>
    <row r="155">
      <c r="A155" s="30"/>
      <c r="D155" s="31"/>
      <c r="F155" s="32"/>
      <c r="G155" s="31"/>
    </row>
    <row r="156">
      <c r="A156" s="30"/>
      <c r="D156" s="31"/>
      <c r="F156" s="32"/>
      <c r="G156" s="31"/>
    </row>
    <row r="157">
      <c r="A157" s="30"/>
      <c r="D157" s="31"/>
      <c r="F157" s="32"/>
      <c r="G157" s="31"/>
    </row>
    <row r="158">
      <c r="A158" s="30"/>
      <c r="D158" s="31"/>
      <c r="F158" s="32"/>
      <c r="G158" s="31"/>
    </row>
    <row r="159">
      <c r="A159" s="30"/>
      <c r="D159" s="31"/>
      <c r="F159" s="32"/>
      <c r="G159" s="31"/>
    </row>
    <row r="160">
      <c r="A160" s="30"/>
      <c r="D160" s="31"/>
      <c r="F160" s="32"/>
      <c r="G160" s="31"/>
    </row>
    <row r="161">
      <c r="A161" s="30"/>
      <c r="D161" s="31"/>
      <c r="F161" s="32"/>
      <c r="G161" s="31"/>
    </row>
    <row r="162">
      <c r="A162" s="30"/>
      <c r="D162" s="31"/>
      <c r="F162" s="32"/>
      <c r="G162" s="31"/>
    </row>
    <row r="163">
      <c r="A163" s="30"/>
      <c r="D163" s="31"/>
      <c r="F163" s="32"/>
      <c r="G163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1.88"/>
    <col customWidth="1" min="3" max="4" width="9.25"/>
    <col customWidth="1" min="5" max="6" width="9.38"/>
    <col customWidth="1" min="7" max="8" width="9.25"/>
    <col customWidth="1" min="9" max="9" width="26.0"/>
    <col customWidth="1" min="10" max="30" width="18.5"/>
  </cols>
  <sheetData>
    <row r="1">
      <c r="A1" s="34"/>
      <c r="B1" s="34"/>
      <c r="C1" s="35">
        <v>42008.0</v>
      </c>
      <c r="D1" s="36">
        <v>45259.0</v>
      </c>
      <c r="E1" s="37">
        <v>45569.0</v>
      </c>
      <c r="F1" s="38">
        <v>45933.0</v>
      </c>
      <c r="G1" s="39">
        <v>45982.0</v>
      </c>
      <c r="H1" s="40"/>
      <c r="I1" s="40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>
      <c r="A2" s="24" t="s">
        <v>40</v>
      </c>
      <c r="B2" s="24"/>
      <c r="C2" s="41">
        <v>192.0</v>
      </c>
      <c r="D2" s="42">
        <v>186.0</v>
      </c>
      <c r="E2" s="43">
        <v>202.0</v>
      </c>
      <c r="F2" s="24">
        <v>196.0</v>
      </c>
      <c r="G2" s="44">
        <v>188.0</v>
      </c>
      <c r="H2" s="24"/>
      <c r="I2" s="24"/>
    </row>
    <row r="3">
      <c r="A3" s="24" t="s">
        <v>41</v>
      </c>
      <c r="B3" s="24"/>
      <c r="C3" s="41"/>
      <c r="D3" s="42"/>
      <c r="E3" s="43"/>
      <c r="F3" s="24">
        <v>23.3</v>
      </c>
      <c r="G3" s="45"/>
      <c r="H3" s="24"/>
      <c r="I3" s="24"/>
    </row>
    <row r="4">
      <c r="A4" s="24" t="s">
        <v>42</v>
      </c>
      <c r="B4" s="24"/>
      <c r="C4" s="41"/>
      <c r="D4" s="42"/>
      <c r="E4" s="43">
        <v>1.0</v>
      </c>
      <c r="F4" s="24">
        <v>0.5</v>
      </c>
      <c r="G4" s="45"/>
      <c r="H4" s="24"/>
      <c r="I4" s="24"/>
    </row>
    <row r="5">
      <c r="A5" s="24"/>
      <c r="B5" s="24"/>
      <c r="C5" s="41"/>
      <c r="D5" s="42"/>
      <c r="E5" s="46"/>
      <c r="F5" s="17"/>
      <c r="G5" s="45"/>
      <c r="H5" s="17"/>
      <c r="I5" s="17"/>
    </row>
    <row r="6">
      <c r="A6" s="24"/>
      <c r="B6" s="24"/>
      <c r="C6" s="41"/>
      <c r="D6" s="42"/>
      <c r="E6" s="46"/>
      <c r="F6" s="17"/>
      <c r="G6" s="45"/>
      <c r="H6" s="17"/>
      <c r="I6" s="17"/>
    </row>
    <row r="7">
      <c r="A7" s="24"/>
      <c r="B7" s="24"/>
      <c r="C7" s="41"/>
      <c r="D7" s="42"/>
      <c r="E7" s="46"/>
      <c r="F7" s="17"/>
      <c r="G7" s="45"/>
      <c r="H7" s="17"/>
      <c r="I7" s="17"/>
    </row>
    <row r="8">
      <c r="A8" s="24"/>
      <c r="B8" s="24"/>
      <c r="C8" s="41"/>
      <c r="D8" s="42"/>
      <c r="E8" s="46"/>
      <c r="F8" s="17"/>
      <c r="G8" s="45"/>
      <c r="H8" s="17"/>
      <c r="I8" s="17"/>
    </row>
    <row r="9">
      <c r="A9" s="24"/>
      <c r="B9" s="24" t="s">
        <v>43</v>
      </c>
      <c r="C9" s="41"/>
      <c r="D9" s="42"/>
      <c r="E9" s="46"/>
      <c r="F9" s="17"/>
      <c r="G9" s="44">
        <v>150.0</v>
      </c>
      <c r="H9" s="17" t="s">
        <v>44</v>
      </c>
      <c r="I9" s="17"/>
    </row>
    <row r="10">
      <c r="A10" s="24"/>
      <c r="B10" s="24" t="s">
        <v>45</v>
      </c>
      <c r="C10" s="41"/>
      <c r="D10" s="42"/>
      <c r="E10" s="46"/>
      <c r="F10" s="17"/>
      <c r="G10" s="44">
        <v>308.0</v>
      </c>
      <c r="H10" s="17" t="s">
        <v>44</v>
      </c>
      <c r="I10" s="17"/>
    </row>
    <row r="11">
      <c r="A11" s="24"/>
      <c r="B11" s="24" t="s">
        <v>46</v>
      </c>
      <c r="C11" s="41"/>
      <c r="D11" s="42"/>
      <c r="E11" s="46"/>
      <c r="F11" s="17"/>
      <c r="G11" s="44">
        <v>147.0</v>
      </c>
      <c r="H11" s="17" t="s">
        <v>47</v>
      </c>
      <c r="I11" s="17"/>
    </row>
    <row r="12">
      <c r="A12" s="24"/>
      <c r="B12" s="24"/>
      <c r="C12" s="41"/>
      <c r="D12" s="42"/>
      <c r="E12" s="46"/>
      <c r="F12" s="17"/>
      <c r="G12" s="45"/>
      <c r="H12" s="17"/>
      <c r="I12" s="17"/>
    </row>
    <row r="13">
      <c r="A13" s="24" t="s">
        <v>48</v>
      </c>
      <c r="B13" s="24" t="s">
        <v>49</v>
      </c>
      <c r="C13" s="41"/>
      <c r="D13" s="42"/>
      <c r="E13" s="46">
        <v>1014.0</v>
      </c>
      <c r="F13" s="17">
        <v>1022.0</v>
      </c>
      <c r="G13" s="45"/>
      <c r="H13" s="17" t="s">
        <v>50</v>
      </c>
      <c r="I13" s="47" t="s">
        <v>51</v>
      </c>
    </row>
    <row r="14">
      <c r="A14" s="17"/>
      <c r="B14" s="17" t="s">
        <v>52</v>
      </c>
      <c r="C14" s="44"/>
      <c r="D14" s="48"/>
      <c r="E14" s="46">
        <v>1097.0</v>
      </c>
      <c r="F14" s="17">
        <v>1065.0</v>
      </c>
      <c r="G14" s="45"/>
      <c r="H14" s="17" t="s">
        <v>50</v>
      </c>
      <c r="I14" s="47" t="s">
        <v>53</v>
      </c>
    </row>
    <row r="15">
      <c r="A15" s="17"/>
      <c r="B15" s="17" t="s">
        <v>54</v>
      </c>
      <c r="C15" s="44"/>
      <c r="D15" s="48"/>
      <c r="E15" s="46">
        <v>156.0</v>
      </c>
      <c r="F15" s="17">
        <v>146.0</v>
      </c>
      <c r="G15" s="45"/>
      <c r="H15" s="17" t="s">
        <v>50</v>
      </c>
      <c r="I15" s="47" t="s">
        <v>55</v>
      </c>
    </row>
    <row r="16">
      <c r="A16" s="17"/>
      <c r="B16" s="17" t="s">
        <v>56</v>
      </c>
      <c r="C16" s="44"/>
      <c r="D16" s="48"/>
      <c r="E16" s="46">
        <v>158.0</v>
      </c>
      <c r="F16" s="17">
        <v>163.0</v>
      </c>
      <c r="G16" s="45"/>
      <c r="H16" s="17" t="s">
        <v>50</v>
      </c>
      <c r="I16" s="49"/>
    </row>
    <row r="17">
      <c r="A17" s="17"/>
      <c r="B17" s="17" t="s">
        <v>57</v>
      </c>
      <c r="C17" s="44"/>
      <c r="D17" s="48"/>
      <c r="E17" s="46">
        <v>74.0</v>
      </c>
      <c r="F17" s="17">
        <v>79.0</v>
      </c>
      <c r="G17" s="45"/>
      <c r="H17" s="17" t="s">
        <v>50</v>
      </c>
      <c r="I17" s="49"/>
    </row>
    <row r="18">
      <c r="A18" s="17"/>
      <c r="B18" s="17" t="s">
        <v>58</v>
      </c>
      <c r="C18" s="44"/>
      <c r="D18" s="48"/>
      <c r="E18" s="46">
        <v>8678.0</v>
      </c>
      <c r="F18" s="17">
        <v>9043.0</v>
      </c>
      <c r="G18" s="45"/>
      <c r="H18" s="17" t="s">
        <v>50</v>
      </c>
      <c r="I18" s="47" t="s">
        <v>59</v>
      </c>
    </row>
    <row r="19">
      <c r="A19" s="17"/>
      <c r="B19" s="17" t="s">
        <v>60</v>
      </c>
      <c r="C19" s="44"/>
      <c r="D19" s="48"/>
      <c r="E19" s="46">
        <v>2180.0</v>
      </c>
      <c r="F19" s="17">
        <v>2089.0</v>
      </c>
      <c r="G19" s="45"/>
      <c r="H19" s="17" t="s">
        <v>50</v>
      </c>
      <c r="I19" s="49"/>
    </row>
    <row r="20">
      <c r="A20" s="17"/>
      <c r="B20" s="17"/>
      <c r="C20" s="45"/>
      <c r="D20" s="50"/>
      <c r="E20" s="51"/>
      <c r="G20" s="45"/>
      <c r="I20" s="49"/>
    </row>
    <row r="21">
      <c r="A21" s="24"/>
      <c r="B21" s="24" t="s">
        <v>61</v>
      </c>
      <c r="C21" s="41"/>
      <c r="D21" s="42"/>
      <c r="E21" s="46">
        <v>208.0</v>
      </c>
      <c r="F21" s="17">
        <v>200.0</v>
      </c>
      <c r="G21" s="44">
        <v>178.0</v>
      </c>
      <c r="H21" s="17" t="s">
        <v>62</v>
      </c>
      <c r="I21" s="49"/>
    </row>
    <row r="22">
      <c r="A22" s="17"/>
      <c r="B22" s="17" t="s">
        <v>63</v>
      </c>
      <c r="C22" s="44"/>
      <c r="D22" s="48"/>
      <c r="E22" s="46">
        <v>101.0</v>
      </c>
      <c r="F22" s="17">
        <v>64.0</v>
      </c>
      <c r="G22" s="44">
        <v>56.0</v>
      </c>
      <c r="H22" s="17" t="s">
        <v>62</v>
      </c>
      <c r="I22" s="49"/>
    </row>
    <row r="23">
      <c r="A23" s="17"/>
      <c r="B23" s="17" t="s">
        <v>64</v>
      </c>
      <c r="C23" s="44"/>
      <c r="D23" s="48"/>
      <c r="E23" s="46">
        <v>49.0</v>
      </c>
      <c r="F23" s="17">
        <v>49.0</v>
      </c>
      <c r="G23" s="44">
        <v>41.0</v>
      </c>
      <c r="H23" s="17" t="s">
        <v>62</v>
      </c>
      <c r="I23" s="47" t="s">
        <v>65</v>
      </c>
    </row>
    <row r="24">
      <c r="A24" s="17"/>
      <c r="B24" s="17" t="s">
        <v>66</v>
      </c>
      <c r="C24" s="44"/>
      <c r="D24" s="48"/>
      <c r="E24" s="46">
        <v>146.0</v>
      </c>
      <c r="F24" s="17">
        <v>154.0</v>
      </c>
      <c r="G24" s="44">
        <v>124.0</v>
      </c>
      <c r="H24" s="17" t="s">
        <v>62</v>
      </c>
      <c r="I24" s="47" t="s">
        <v>67</v>
      </c>
    </row>
    <row r="25">
      <c r="A25" s="24"/>
      <c r="B25" s="24" t="s">
        <v>68</v>
      </c>
      <c r="C25" s="41"/>
      <c r="D25" s="42"/>
      <c r="E25" s="46">
        <v>159.0</v>
      </c>
      <c r="F25" s="17">
        <v>151.0</v>
      </c>
      <c r="G25" s="44">
        <v>137.0</v>
      </c>
      <c r="H25" s="17" t="s">
        <v>62</v>
      </c>
      <c r="I25" s="47" t="s">
        <v>55</v>
      </c>
    </row>
    <row r="26">
      <c r="C26" s="45"/>
      <c r="D26" s="50"/>
      <c r="E26" s="51"/>
      <c r="G26" s="45"/>
      <c r="I26" s="49"/>
    </row>
    <row r="27">
      <c r="A27" s="17"/>
      <c r="B27" s="17" t="s">
        <v>69</v>
      </c>
      <c r="C27" s="44"/>
      <c r="D27" s="48"/>
      <c r="E27" s="46">
        <v>8.6</v>
      </c>
      <c r="F27" s="17">
        <v>3.9</v>
      </c>
      <c r="G27" s="45"/>
      <c r="H27" s="17" t="s">
        <v>70</v>
      </c>
      <c r="I27" s="49"/>
    </row>
    <row r="28">
      <c r="A28" s="17"/>
      <c r="B28" s="17" t="s">
        <v>71</v>
      </c>
      <c r="C28" s="44"/>
      <c r="D28" s="48"/>
      <c r="E28" s="46">
        <v>1.18</v>
      </c>
      <c r="F28" s="17">
        <v>0.66</v>
      </c>
      <c r="G28" s="45"/>
      <c r="H28" s="17" t="s">
        <v>72</v>
      </c>
      <c r="I28" s="49"/>
    </row>
    <row r="29">
      <c r="A29" s="17"/>
      <c r="B29" s="17" t="s">
        <v>73</v>
      </c>
      <c r="C29" s="44"/>
      <c r="D29" s="48"/>
      <c r="E29" s="46">
        <v>8.5</v>
      </c>
      <c r="F29" s="17">
        <v>6.4</v>
      </c>
      <c r="G29" s="45"/>
      <c r="H29" s="17" t="s">
        <v>74</v>
      </c>
      <c r="I29" s="49"/>
    </row>
    <row r="30">
      <c r="C30" s="45"/>
      <c r="D30" s="50"/>
      <c r="E30" s="51"/>
      <c r="G30" s="45"/>
      <c r="I30" s="49"/>
    </row>
    <row r="31">
      <c r="A31" s="24"/>
      <c r="B31" s="24" t="s">
        <v>75</v>
      </c>
      <c r="C31" s="41"/>
      <c r="D31" s="42"/>
      <c r="E31" s="46">
        <v>105.0</v>
      </c>
      <c r="F31" s="17">
        <v>100.0</v>
      </c>
      <c r="G31" s="45"/>
      <c r="H31" s="17" t="s">
        <v>62</v>
      </c>
      <c r="I31" s="47" t="s">
        <v>76</v>
      </c>
    </row>
    <row r="32">
      <c r="A32" s="17"/>
      <c r="B32" s="17" t="s">
        <v>77</v>
      </c>
      <c r="C32" s="44"/>
      <c r="D32" s="48"/>
      <c r="E32" s="46">
        <v>124.0</v>
      </c>
      <c r="F32" s="17">
        <v>119.0</v>
      </c>
      <c r="G32" s="45"/>
      <c r="H32" s="17" t="s">
        <v>62</v>
      </c>
      <c r="I32" s="49"/>
    </row>
    <row r="33">
      <c r="A33" s="17"/>
      <c r="B33" s="17" t="s">
        <v>78</v>
      </c>
      <c r="C33" s="44"/>
      <c r="D33" s="48"/>
      <c r="E33" s="46">
        <v>7.6</v>
      </c>
      <c r="F33" s="17">
        <v>7.6</v>
      </c>
      <c r="G33" s="45"/>
      <c r="H33" s="17" t="s">
        <v>79</v>
      </c>
      <c r="I33" s="49"/>
    </row>
    <row r="34">
      <c r="B34" s="17" t="s">
        <v>80</v>
      </c>
      <c r="C34" s="45"/>
      <c r="D34" s="50"/>
      <c r="E34" s="51"/>
      <c r="G34" s="44">
        <v>13.0</v>
      </c>
      <c r="H34" s="17" t="s">
        <v>62</v>
      </c>
    </row>
    <row r="35">
      <c r="C35" s="45"/>
      <c r="D35" s="50"/>
      <c r="E35" s="51"/>
      <c r="G35" s="45"/>
    </row>
    <row r="36">
      <c r="A36" s="24" t="s">
        <v>81</v>
      </c>
      <c r="B36" s="17" t="s">
        <v>82</v>
      </c>
      <c r="C36" s="44">
        <v>114.0</v>
      </c>
      <c r="D36" s="48">
        <v>106.0</v>
      </c>
      <c r="E36" s="51"/>
      <c r="G36" s="44">
        <v>82.0</v>
      </c>
      <c r="H36" s="17"/>
      <c r="I36" s="17"/>
    </row>
    <row r="37">
      <c r="A37" s="52"/>
      <c r="B37" s="52" t="s">
        <v>83</v>
      </c>
      <c r="C37" s="44">
        <v>11.0</v>
      </c>
      <c r="D37" s="48">
        <v>15.0</v>
      </c>
      <c r="E37" s="51"/>
      <c r="G37" s="44">
        <v>12.0</v>
      </c>
      <c r="H37" s="17"/>
      <c r="I37" s="17"/>
    </row>
    <row r="38">
      <c r="A38" s="52"/>
      <c r="B38" s="52" t="s">
        <v>84</v>
      </c>
      <c r="C38" s="44">
        <v>1.1</v>
      </c>
      <c r="D38" s="48">
        <v>0.87</v>
      </c>
      <c r="E38" s="51"/>
      <c r="G38" s="44">
        <v>0.98</v>
      </c>
      <c r="H38" s="17"/>
      <c r="I38" s="17"/>
    </row>
    <row r="39">
      <c r="A39" s="17"/>
      <c r="B39" s="17" t="s">
        <v>85</v>
      </c>
      <c r="C39" s="44">
        <v>10.0</v>
      </c>
      <c r="D39" s="48">
        <v>17.0</v>
      </c>
      <c r="E39" s="51"/>
      <c r="G39" s="44">
        <v>12.2</v>
      </c>
      <c r="H39" s="17"/>
      <c r="I39" s="17"/>
    </row>
    <row r="40">
      <c r="A40" s="17"/>
      <c r="B40" s="17" t="s">
        <v>86</v>
      </c>
      <c r="C40" s="44">
        <v>86.0</v>
      </c>
      <c r="D40" s="48">
        <v>121.0</v>
      </c>
      <c r="E40" s="51"/>
      <c r="G40" s="44">
        <v>106.0</v>
      </c>
      <c r="H40" s="17"/>
      <c r="I40" s="17"/>
    </row>
    <row r="41">
      <c r="A41" s="17"/>
      <c r="B41" s="17" t="s">
        <v>87</v>
      </c>
      <c r="C41" s="44">
        <v>139.0</v>
      </c>
      <c r="D41" s="48">
        <v>143.0</v>
      </c>
      <c r="E41" s="51"/>
      <c r="G41" s="44">
        <v>140.0</v>
      </c>
      <c r="H41" s="17"/>
      <c r="I41" s="17"/>
    </row>
    <row r="42">
      <c r="A42" s="17"/>
      <c r="B42" s="17" t="s">
        <v>88</v>
      </c>
      <c r="C42" s="44">
        <v>3.5</v>
      </c>
      <c r="D42" s="48">
        <v>4.4</v>
      </c>
      <c r="E42" s="51"/>
      <c r="G42" s="44">
        <v>4.2</v>
      </c>
      <c r="H42" s="17"/>
      <c r="I42" s="17"/>
    </row>
    <row r="43">
      <c r="A43" s="17"/>
      <c r="B43" s="17" t="s">
        <v>89</v>
      </c>
      <c r="C43" s="44">
        <v>100.0</v>
      </c>
      <c r="D43" s="48">
        <v>100.0</v>
      </c>
      <c r="E43" s="51"/>
      <c r="G43" s="44">
        <v>103.0</v>
      </c>
      <c r="H43" s="17"/>
      <c r="I43" s="17"/>
    </row>
    <row r="44">
      <c r="A44" s="17"/>
      <c r="B44" s="17" t="s">
        <v>90</v>
      </c>
      <c r="C44" s="44">
        <v>28.0</v>
      </c>
      <c r="D44" s="48">
        <v>27.0</v>
      </c>
      <c r="E44" s="51"/>
      <c r="G44" s="44">
        <v>26.0</v>
      </c>
      <c r="H44" s="17"/>
      <c r="I44" s="17"/>
    </row>
    <row r="45">
      <c r="A45" s="17"/>
      <c r="B45" s="17" t="s">
        <v>91</v>
      </c>
      <c r="C45" s="44">
        <v>8.7</v>
      </c>
      <c r="D45" s="48">
        <v>9.8</v>
      </c>
      <c r="E45" s="51"/>
      <c r="G45" s="44">
        <v>9.7</v>
      </c>
      <c r="H45" s="17"/>
      <c r="I45" s="17"/>
    </row>
    <row r="46">
      <c r="A46" s="17"/>
      <c r="B46" s="17" t="s">
        <v>92</v>
      </c>
      <c r="C46" s="44"/>
      <c r="D46" s="48">
        <v>7.5</v>
      </c>
      <c r="E46" s="51"/>
      <c r="G46" s="44">
        <v>7.6</v>
      </c>
      <c r="H46" s="17"/>
      <c r="I46" s="17"/>
    </row>
    <row r="47">
      <c r="A47" s="17"/>
      <c r="B47" s="17" t="s">
        <v>93</v>
      </c>
      <c r="C47" s="44"/>
      <c r="D47" s="48">
        <v>4.8</v>
      </c>
      <c r="E47" s="51"/>
      <c r="G47" s="44">
        <v>4.9</v>
      </c>
      <c r="H47" s="17"/>
      <c r="I47" s="17"/>
    </row>
    <row r="48">
      <c r="A48" s="17"/>
      <c r="B48" s="17" t="s">
        <v>94</v>
      </c>
      <c r="C48" s="44"/>
      <c r="D48" s="48">
        <v>2.7</v>
      </c>
      <c r="E48" s="51"/>
      <c r="G48" s="44">
        <v>2.7</v>
      </c>
      <c r="H48" s="17"/>
      <c r="I48" s="17"/>
    </row>
    <row r="49">
      <c r="A49" s="17"/>
      <c r="B49" s="17" t="s">
        <v>95</v>
      </c>
      <c r="C49" s="44"/>
      <c r="D49" s="48">
        <v>1.8</v>
      </c>
      <c r="E49" s="51"/>
      <c r="G49" s="44">
        <v>1.8</v>
      </c>
      <c r="H49" s="17"/>
      <c r="I49" s="17"/>
    </row>
    <row r="50">
      <c r="A50" s="17"/>
      <c r="B50" s="17" t="s">
        <v>96</v>
      </c>
      <c r="C50" s="44"/>
      <c r="D50" s="48">
        <v>0.4</v>
      </c>
      <c r="E50" s="51"/>
      <c r="G50" s="44">
        <v>0.9</v>
      </c>
      <c r="H50" s="17"/>
      <c r="I50" s="17"/>
    </row>
    <row r="51">
      <c r="A51" s="17"/>
      <c r="B51" s="17" t="s">
        <v>97</v>
      </c>
      <c r="C51" s="44"/>
      <c r="D51" s="48">
        <v>65.0</v>
      </c>
      <c r="E51" s="51"/>
      <c r="G51" s="44">
        <v>49.0</v>
      </c>
      <c r="H51" s="17"/>
      <c r="I51" s="17"/>
    </row>
    <row r="52">
      <c r="A52" s="17"/>
      <c r="B52" s="17" t="s">
        <v>98</v>
      </c>
      <c r="C52" s="44"/>
      <c r="D52" s="48">
        <v>25.0</v>
      </c>
      <c r="E52" s="51"/>
      <c r="G52" s="44">
        <v>22.0</v>
      </c>
      <c r="H52" s="17"/>
      <c r="I52" s="17"/>
    </row>
    <row r="53">
      <c r="A53" s="17"/>
      <c r="B53" s="17" t="s">
        <v>99</v>
      </c>
      <c r="C53" s="44"/>
      <c r="D53" s="48">
        <v>50.0</v>
      </c>
      <c r="E53" s="51"/>
      <c r="G53" s="44">
        <v>24.0</v>
      </c>
      <c r="H53" s="17"/>
      <c r="I53" s="17"/>
    </row>
    <row r="54">
      <c r="A54" s="17"/>
      <c r="B54" s="17"/>
      <c r="C54" s="44"/>
      <c r="D54" s="48"/>
      <c r="E54" s="51"/>
      <c r="G54" s="45"/>
      <c r="H54" s="17"/>
      <c r="I54" s="17"/>
    </row>
    <row r="55">
      <c r="A55" s="17"/>
      <c r="B55" s="17"/>
      <c r="C55" s="44"/>
      <c r="D55" s="48"/>
      <c r="E55" s="51"/>
      <c r="G55" s="45"/>
      <c r="H55" s="17"/>
      <c r="I55" s="17"/>
    </row>
    <row r="56">
      <c r="A56" s="17"/>
      <c r="B56" s="17"/>
      <c r="C56" s="44"/>
      <c r="D56" s="48"/>
      <c r="E56" s="51"/>
      <c r="G56" s="45"/>
      <c r="H56" s="17"/>
      <c r="I56" s="17"/>
    </row>
    <row r="57">
      <c r="A57" s="17"/>
      <c r="B57" s="17"/>
      <c r="C57" s="44"/>
      <c r="D57" s="48"/>
      <c r="E57" s="51"/>
      <c r="G57" s="45"/>
      <c r="H57" s="17"/>
      <c r="I57" s="17"/>
    </row>
    <row r="58">
      <c r="A58" s="17"/>
      <c r="B58" s="17"/>
      <c r="C58" s="44"/>
      <c r="D58" s="48"/>
      <c r="E58" s="51"/>
      <c r="G58" s="45"/>
      <c r="H58" s="17"/>
      <c r="I58" s="17"/>
    </row>
    <row r="59">
      <c r="A59" s="17"/>
      <c r="B59" s="17"/>
      <c r="C59" s="44"/>
      <c r="D59" s="48"/>
      <c r="E59" s="51"/>
      <c r="G59" s="45"/>
      <c r="H59" s="17"/>
      <c r="I59" s="17"/>
    </row>
    <row r="60">
      <c r="A60" s="17"/>
      <c r="B60" s="17"/>
      <c r="C60" s="44"/>
      <c r="D60" s="48"/>
      <c r="E60" s="51"/>
      <c r="G60" s="45"/>
      <c r="H60" s="17"/>
      <c r="I60" s="17"/>
    </row>
    <row r="61">
      <c r="A61" s="17"/>
      <c r="B61" s="17"/>
      <c r="C61" s="44"/>
      <c r="D61" s="48"/>
      <c r="E61" s="51"/>
      <c r="G61" s="45"/>
      <c r="H61" s="17"/>
      <c r="I61" s="17"/>
    </row>
    <row r="62">
      <c r="A62" s="24" t="s">
        <v>100</v>
      </c>
      <c r="B62" s="17" t="s">
        <v>101</v>
      </c>
      <c r="C62" s="44" t="s">
        <v>102</v>
      </c>
      <c r="D62" s="48">
        <v>1.013</v>
      </c>
      <c r="E62" s="51"/>
      <c r="G62" s="45"/>
      <c r="H62" s="17"/>
      <c r="I62" s="17"/>
    </row>
    <row r="63">
      <c r="A63" s="17"/>
      <c r="B63" s="17" t="s">
        <v>103</v>
      </c>
      <c r="C63" s="44">
        <v>6.0</v>
      </c>
      <c r="D63" s="48">
        <v>7.5</v>
      </c>
      <c r="E63" s="51"/>
      <c r="G63" s="45"/>
      <c r="H63" s="17"/>
      <c r="I63" s="17"/>
    </row>
    <row r="64">
      <c r="A64" s="17"/>
      <c r="B64" s="17" t="s">
        <v>104</v>
      </c>
      <c r="C64" s="53"/>
      <c r="D64" s="48" t="s">
        <v>105</v>
      </c>
      <c r="E64" s="51"/>
      <c r="G64" s="45"/>
      <c r="H64" s="17"/>
      <c r="I64" s="17"/>
    </row>
    <row r="65">
      <c r="A65" s="17"/>
      <c r="B65" s="17" t="s">
        <v>106</v>
      </c>
      <c r="C65" s="44">
        <v>100.0</v>
      </c>
      <c r="D65" s="48" t="s">
        <v>105</v>
      </c>
      <c r="E65" s="51"/>
      <c r="G65" s="45"/>
      <c r="H65" s="17"/>
      <c r="I65" s="17"/>
    </row>
    <row r="66">
      <c r="A66" s="17"/>
      <c r="B66" s="17" t="s">
        <v>107</v>
      </c>
      <c r="C66" s="44" t="s">
        <v>108</v>
      </c>
      <c r="D66" s="48" t="s">
        <v>105</v>
      </c>
      <c r="E66" s="51"/>
      <c r="G66" s="45"/>
      <c r="H66" s="17"/>
      <c r="I66" s="17"/>
    </row>
    <row r="67">
      <c r="A67" s="17"/>
      <c r="B67" s="17" t="s">
        <v>109</v>
      </c>
      <c r="C67" s="53"/>
      <c r="D67" s="48" t="s">
        <v>105</v>
      </c>
      <c r="E67" s="51"/>
      <c r="G67" s="45"/>
      <c r="H67" s="17"/>
      <c r="I67" s="17"/>
    </row>
    <row r="68">
      <c r="A68" s="17"/>
      <c r="B68" s="17" t="s">
        <v>110</v>
      </c>
      <c r="C68" s="44" t="s">
        <v>108</v>
      </c>
      <c r="D68" s="48" t="s">
        <v>105</v>
      </c>
      <c r="E68" s="51"/>
      <c r="G68" s="45"/>
      <c r="H68" s="17"/>
      <c r="I68" s="17"/>
    </row>
    <row r="69">
      <c r="A69" s="17"/>
      <c r="B69" s="17" t="s">
        <v>111</v>
      </c>
      <c r="C69" s="44" t="s">
        <v>108</v>
      </c>
      <c r="D69" s="48" t="s">
        <v>105</v>
      </c>
      <c r="E69" s="51"/>
      <c r="G69" s="45"/>
      <c r="H69" s="17"/>
      <c r="I69" s="17"/>
    </row>
    <row r="70">
      <c r="A70" s="17"/>
      <c r="B70" s="17" t="s">
        <v>112</v>
      </c>
      <c r="C70" s="44">
        <v>1.0</v>
      </c>
      <c r="D70" s="48">
        <v>0.2</v>
      </c>
      <c r="E70" s="51"/>
      <c r="G70" s="45"/>
      <c r="H70" s="17"/>
      <c r="I70" s="17"/>
    </row>
    <row r="71">
      <c r="A71" s="17"/>
      <c r="B71" s="17" t="s">
        <v>113</v>
      </c>
      <c r="C71" s="44" t="s">
        <v>108</v>
      </c>
      <c r="D71" s="48" t="s">
        <v>105</v>
      </c>
      <c r="E71" s="51"/>
      <c r="G71" s="45"/>
      <c r="H71" s="17"/>
      <c r="I71" s="17"/>
    </row>
    <row r="72">
      <c r="A72" s="17"/>
      <c r="B72" s="17"/>
      <c r="C72" s="45"/>
      <c r="D72" s="50"/>
      <c r="E72" s="51"/>
      <c r="G72" s="45"/>
    </row>
    <row r="73">
      <c r="A73" s="17"/>
      <c r="B73" s="17"/>
      <c r="C73" s="45"/>
      <c r="D73" s="50"/>
      <c r="E73" s="51"/>
      <c r="G73" s="45"/>
    </row>
    <row r="74">
      <c r="A74" s="54"/>
      <c r="B74" s="55" t="s">
        <v>114</v>
      </c>
      <c r="C74" s="56">
        <v>11.4</v>
      </c>
      <c r="D74" s="57"/>
      <c r="E74" s="58"/>
      <c r="G74" s="44">
        <v>14.0</v>
      </c>
      <c r="H74" s="17" t="s">
        <v>115</v>
      </c>
      <c r="I74" s="54"/>
    </row>
    <row r="75">
      <c r="A75" s="59" t="s">
        <v>116</v>
      </c>
      <c r="B75" s="54" t="s">
        <v>117</v>
      </c>
      <c r="C75" s="60">
        <v>10.2</v>
      </c>
      <c r="D75" s="61">
        <v>8.1</v>
      </c>
      <c r="E75" s="51"/>
      <c r="G75" s="44">
        <v>4.3</v>
      </c>
      <c r="H75" s="17" t="s">
        <v>118</v>
      </c>
      <c r="I75" s="62"/>
    </row>
    <row r="76">
      <c r="A76" s="54"/>
      <c r="B76" s="54" t="s">
        <v>119</v>
      </c>
      <c r="C76" s="60">
        <v>15.1</v>
      </c>
      <c r="D76" s="61">
        <v>14.9</v>
      </c>
      <c r="E76" s="51"/>
      <c r="G76" s="44">
        <v>15.1</v>
      </c>
      <c r="H76" s="17" t="s">
        <v>120</v>
      </c>
      <c r="I76" s="62"/>
    </row>
    <row r="77">
      <c r="A77" s="54"/>
      <c r="B77" s="54" t="s">
        <v>121</v>
      </c>
      <c r="C77" s="60">
        <v>5.07</v>
      </c>
      <c r="D77" s="61">
        <v>5.11</v>
      </c>
      <c r="E77" s="51"/>
      <c r="G77" s="44">
        <v>5.07</v>
      </c>
      <c r="I77" s="62"/>
    </row>
    <row r="78">
      <c r="A78" s="54"/>
      <c r="B78" s="54" t="s">
        <v>122</v>
      </c>
      <c r="C78" s="60">
        <v>43.1</v>
      </c>
      <c r="D78" s="61">
        <v>44.4</v>
      </c>
      <c r="E78" s="51"/>
      <c r="G78" s="44">
        <v>44.5</v>
      </c>
      <c r="H78" s="17" t="s">
        <v>123</v>
      </c>
      <c r="I78" s="62"/>
    </row>
    <row r="79">
      <c r="A79" s="54"/>
      <c r="B79" s="54" t="s">
        <v>124</v>
      </c>
      <c r="C79" s="60">
        <v>85.0</v>
      </c>
      <c r="D79" s="61">
        <v>87.0</v>
      </c>
      <c r="E79" s="51"/>
      <c r="G79" s="44">
        <v>87.8</v>
      </c>
      <c r="I79" s="62"/>
    </row>
    <row r="80">
      <c r="A80" s="54"/>
      <c r="B80" s="54" t="s">
        <v>125</v>
      </c>
      <c r="C80" s="60">
        <v>35.0</v>
      </c>
      <c r="D80" s="61">
        <v>33.6</v>
      </c>
      <c r="E80" s="51"/>
      <c r="G80" s="44">
        <v>33.9</v>
      </c>
      <c r="I80" s="62"/>
    </row>
    <row r="81">
      <c r="A81" s="54"/>
      <c r="B81" s="54" t="s">
        <v>126</v>
      </c>
      <c r="C81" s="60">
        <v>29.8</v>
      </c>
      <c r="D81" s="61">
        <v>29.2</v>
      </c>
      <c r="E81" s="51"/>
      <c r="G81" s="44">
        <v>29.8</v>
      </c>
      <c r="I81" s="62"/>
    </row>
    <row r="82">
      <c r="A82" s="54"/>
      <c r="B82" s="54" t="s">
        <v>127</v>
      </c>
      <c r="C82" s="60">
        <v>12.5</v>
      </c>
      <c r="D82" s="61">
        <v>12.7</v>
      </c>
      <c r="E82" s="51"/>
      <c r="G82" s="44">
        <v>12.2</v>
      </c>
      <c r="H82" s="17" t="s">
        <v>123</v>
      </c>
      <c r="I82" s="62"/>
    </row>
    <row r="83">
      <c r="A83" s="54"/>
      <c r="B83" s="54" t="s">
        <v>128</v>
      </c>
      <c r="C83" s="63">
        <v>255.0</v>
      </c>
      <c r="D83" s="64">
        <v>311.0</v>
      </c>
      <c r="E83" s="51"/>
      <c r="G83" s="44">
        <v>252.0</v>
      </c>
      <c r="H83" s="54" t="s">
        <v>129</v>
      </c>
      <c r="I83" s="62"/>
    </row>
    <row r="84">
      <c r="A84" s="54"/>
      <c r="B84" s="54" t="s">
        <v>130</v>
      </c>
      <c r="C84" s="60">
        <v>26.4</v>
      </c>
      <c r="D84" s="61">
        <v>27.0</v>
      </c>
      <c r="E84" s="51"/>
      <c r="G84" s="44">
        <v>51.5</v>
      </c>
      <c r="H84" s="62"/>
      <c r="I84" s="62"/>
    </row>
    <row r="85">
      <c r="A85" s="54"/>
      <c r="B85" s="54" t="s">
        <v>131</v>
      </c>
      <c r="C85" s="60">
        <v>1.6</v>
      </c>
      <c r="D85" s="61">
        <v>3.0</v>
      </c>
      <c r="E85" s="51"/>
      <c r="G85" s="44">
        <v>4.4</v>
      </c>
      <c r="H85" s="62"/>
      <c r="I85" s="62"/>
    </row>
    <row r="86">
      <c r="A86" s="54"/>
      <c r="B86" s="54" t="s">
        <v>132</v>
      </c>
      <c r="C86" s="60">
        <v>6.0</v>
      </c>
      <c r="D86" s="61">
        <v>5.1</v>
      </c>
      <c r="E86" s="51"/>
      <c r="G86" s="44">
        <v>1.5</v>
      </c>
      <c r="H86" s="62"/>
      <c r="I86" s="62"/>
    </row>
    <row r="87">
      <c r="A87" s="54"/>
      <c r="B87" s="54" t="s">
        <v>133</v>
      </c>
      <c r="C87" s="60">
        <v>1.2</v>
      </c>
      <c r="D87" s="61">
        <v>0.5</v>
      </c>
      <c r="E87" s="51"/>
      <c r="G87" s="44">
        <v>0.3</v>
      </c>
      <c r="H87" s="62"/>
      <c r="I87" s="62"/>
    </row>
    <row r="88">
      <c r="A88" s="54"/>
      <c r="B88" s="54" t="s">
        <v>134</v>
      </c>
      <c r="C88" s="60">
        <v>0.03</v>
      </c>
      <c r="D88" s="61">
        <v>0.0</v>
      </c>
      <c r="E88" s="51"/>
      <c r="G88" s="44">
        <v>0.0</v>
      </c>
      <c r="H88" s="62"/>
      <c r="I88" s="62"/>
    </row>
    <row r="89">
      <c r="A89" s="54"/>
      <c r="B89" s="54" t="s">
        <v>135</v>
      </c>
      <c r="C89" s="60">
        <v>0.03</v>
      </c>
      <c r="D89" s="61">
        <v>0.0</v>
      </c>
      <c r="E89" s="51"/>
      <c r="G89" s="44">
        <v>0.2</v>
      </c>
      <c r="H89" s="62"/>
      <c r="I89" s="62"/>
    </row>
    <row r="90">
      <c r="A90" s="54"/>
      <c r="B90" s="54" t="s">
        <v>136</v>
      </c>
      <c r="C90" s="60">
        <v>59.2</v>
      </c>
      <c r="D90" s="61">
        <v>63.0</v>
      </c>
      <c r="E90" s="51"/>
      <c r="G90" s="44">
        <v>36.0</v>
      </c>
      <c r="H90" s="62"/>
      <c r="I90" s="62"/>
    </row>
    <row r="91">
      <c r="A91" s="54"/>
      <c r="B91" s="54" t="s">
        <v>137</v>
      </c>
      <c r="C91" s="60">
        <v>12.2</v>
      </c>
      <c r="D91" s="61">
        <v>7.0</v>
      </c>
      <c r="E91" s="51"/>
      <c r="G91" s="44">
        <v>0.3</v>
      </c>
      <c r="H91" s="62"/>
      <c r="I91" s="62"/>
    </row>
    <row r="92">
      <c r="A92" s="54"/>
      <c r="B92" s="54" t="s">
        <v>138</v>
      </c>
      <c r="C92" s="60">
        <v>0.3</v>
      </c>
      <c r="D92" s="61">
        <v>0.0</v>
      </c>
      <c r="E92" s="51"/>
      <c r="G92" s="45"/>
      <c r="H92" s="62"/>
      <c r="I92" s="62"/>
    </row>
    <row r="93">
      <c r="A93" s="54"/>
      <c r="B93" s="54" t="s">
        <v>139</v>
      </c>
      <c r="C93" s="60">
        <v>2.7</v>
      </c>
      <c r="D93" s="61">
        <v>2.1</v>
      </c>
      <c r="E93" s="51"/>
      <c r="G93" s="44">
        <v>2.2</v>
      </c>
      <c r="H93" s="62"/>
      <c r="I93" s="62"/>
    </row>
    <row r="94">
      <c r="A94" s="54"/>
      <c r="B94" s="54" t="s">
        <v>140</v>
      </c>
      <c r="C94" s="60">
        <v>0.2</v>
      </c>
      <c r="D94" s="61">
        <v>0.2</v>
      </c>
      <c r="E94" s="51"/>
      <c r="G94" s="44">
        <v>0.2</v>
      </c>
      <c r="H94" s="62"/>
      <c r="I94" s="62"/>
    </row>
    <row r="95">
      <c r="A95" s="54"/>
      <c r="B95" s="54" t="s">
        <v>141</v>
      </c>
      <c r="C95" s="60">
        <v>0.3</v>
      </c>
      <c r="D95" s="65">
        <v>0.0</v>
      </c>
      <c r="E95" s="66"/>
      <c r="G95" s="44">
        <v>0.0</v>
      </c>
      <c r="H95" s="62"/>
      <c r="I95" s="6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>
        <v>30.0</v>
      </c>
      <c r="B2" s="17" t="s">
        <v>142</v>
      </c>
      <c r="E2" s="17" t="s">
        <v>143</v>
      </c>
      <c r="J2" s="17" t="s">
        <v>144</v>
      </c>
    </row>
    <row r="3">
      <c r="A3" s="17">
        <v>31.0</v>
      </c>
      <c r="J3" s="17" t="s">
        <v>145</v>
      </c>
    </row>
    <row r="4">
      <c r="A4" s="17">
        <v>32.0</v>
      </c>
    </row>
    <row r="5">
      <c r="A5" s="17">
        <v>33.0</v>
      </c>
    </row>
    <row r="6">
      <c r="A6" s="17">
        <v>34.0</v>
      </c>
    </row>
    <row r="7">
      <c r="A7" s="17">
        <v>35.0</v>
      </c>
      <c r="B7" s="17"/>
      <c r="C7" s="17" t="s">
        <v>146</v>
      </c>
    </row>
    <row r="8">
      <c r="A8" s="17">
        <v>36.0</v>
      </c>
    </row>
    <row r="9">
      <c r="A9" s="17">
        <v>37.0</v>
      </c>
    </row>
    <row r="10">
      <c r="A10" s="17">
        <v>38.0</v>
      </c>
    </row>
    <row r="11">
      <c r="A11" s="17">
        <v>39.0</v>
      </c>
    </row>
    <row r="12">
      <c r="A12" s="17">
        <v>40.0</v>
      </c>
    </row>
    <row r="13">
      <c r="A13" s="17">
        <v>41.0</v>
      </c>
    </row>
    <row r="14">
      <c r="A14" s="17">
        <v>42.0</v>
      </c>
    </row>
    <row r="15">
      <c r="A15" s="17">
        <v>43.0</v>
      </c>
    </row>
    <row r="16">
      <c r="A16" s="17">
        <v>44.0</v>
      </c>
    </row>
    <row r="17">
      <c r="A17" s="17">
        <v>45.0</v>
      </c>
      <c r="B17" s="17"/>
      <c r="C17" s="17" t="s">
        <v>147</v>
      </c>
    </row>
    <row r="18">
      <c r="A18" s="17">
        <v>46.0</v>
      </c>
    </row>
    <row r="19">
      <c r="A19" s="17">
        <v>47.0</v>
      </c>
    </row>
    <row r="20">
      <c r="A20" s="17">
        <v>48.0</v>
      </c>
    </row>
    <row r="21">
      <c r="A21" s="17">
        <v>49.0</v>
      </c>
    </row>
    <row r="22">
      <c r="A22" s="17">
        <v>50.0</v>
      </c>
    </row>
    <row r="23">
      <c r="A23" s="17">
        <v>51.0</v>
      </c>
    </row>
    <row r="24">
      <c r="A24" s="17">
        <v>52.0</v>
      </c>
    </row>
    <row r="25">
      <c r="A25" s="17">
        <v>53.0</v>
      </c>
    </row>
    <row r="26">
      <c r="A26" s="17">
        <v>54.0</v>
      </c>
    </row>
    <row r="27">
      <c r="A27" s="17">
        <v>55.0</v>
      </c>
    </row>
    <row r="28">
      <c r="A28" s="17">
        <v>56.0</v>
      </c>
    </row>
    <row r="29">
      <c r="A29" s="17">
        <v>57.0</v>
      </c>
    </row>
    <row r="30">
      <c r="A30" s="17">
        <v>58.0</v>
      </c>
    </row>
    <row r="31">
      <c r="A31" s="17">
        <v>59.0</v>
      </c>
    </row>
    <row r="32">
      <c r="A32" s="17">
        <v>60.0</v>
      </c>
    </row>
    <row r="33">
      <c r="A33" s="17">
        <v>61.0</v>
      </c>
    </row>
    <row r="34">
      <c r="A34" s="17">
        <v>62.0</v>
      </c>
    </row>
    <row r="35">
      <c r="A35" s="17">
        <v>63.0</v>
      </c>
    </row>
    <row r="36">
      <c r="A36" s="17">
        <v>64.0</v>
      </c>
    </row>
    <row r="37">
      <c r="A37" s="17">
        <v>65.0</v>
      </c>
    </row>
    <row r="38">
      <c r="A38" s="17">
        <v>66.0</v>
      </c>
    </row>
    <row r="39">
      <c r="A39" s="17">
        <v>67.0</v>
      </c>
    </row>
    <row r="40">
      <c r="A40" s="17">
        <v>68.0</v>
      </c>
    </row>
    <row r="41">
      <c r="A41" s="17">
        <v>69.0</v>
      </c>
    </row>
    <row r="42">
      <c r="A42" s="17">
        <v>70.0</v>
      </c>
    </row>
    <row r="43">
      <c r="A43" s="17">
        <v>71.0</v>
      </c>
    </row>
    <row r="44">
      <c r="A44" s="17">
        <v>72.0</v>
      </c>
    </row>
    <row r="45">
      <c r="A45" s="17">
        <v>73.0</v>
      </c>
    </row>
    <row r="46">
      <c r="A46" s="17">
        <v>74.0</v>
      </c>
    </row>
    <row r="47">
      <c r="A47" s="17">
        <v>75.0</v>
      </c>
    </row>
    <row r="48">
      <c r="A48" s="17">
        <v>76.0</v>
      </c>
    </row>
    <row r="49">
      <c r="A49" s="17">
        <v>77.0</v>
      </c>
    </row>
    <row r="50">
      <c r="A50" s="17">
        <v>78.0</v>
      </c>
    </row>
    <row r="51">
      <c r="A51" s="17">
        <v>79.0</v>
      </c>
    </row>
    <row r="52">
      <c r="A52" s="17">
        <v>80.0</v>
      </c>
    </row>
    <row r="53">
      <c r="A53" s="17">
        <v>81.0</v>
      </c>
    </row>
    <row r="54">
      <c r="A54" s="17">
        <v>82.0</v>
      </c>
    </row>
    <row r="55">
      <c r="A55" s="17">
        <v>83.0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4" t="s">
        <v>148</v>
      </c>
      <c r="C1" s="17" t="s">
        <v>149</v>
      </c>
      <c r="D1" s="17" t="s">
        <v>29</v>
      </c>
      <c r="E1" s="17" t="s">
        <v>150</v>
      </c>
    </row>
    <row r="2">
      <c r="A2" s="17" t="s">
        <v>151</v>
      </c>
      <c r="B2" s="17" t="s">
        <v>152</v>
      </c>
      <c r="C2" s="17">
        <v>25.0</v>
      </c>
      <c r="D2">
        <f>(165+205+245+290+330)/5</f>
        <v>247</v>
      </c>
      <c r="E2">
        <f t="shared" ref="E2:E4" si="1">D2*C2</f>
        <v>6175</v>
      </c>
    </row>
    <row r="3">
      <c r="A3" s="67">
        <f>SUM(E2:E4)</f>
        <v>14525</v>
      </c>
      <c r="B3" s="17" t="s">
        <v>153</v>
      </c>
      <c r="C3" s="17">
        <v>25.0</v>
      </c>
      <c r="D3">
        <f>(120+150+180+210+240)/5</f>
        <v>180</v>
      </c>
      <c r="E3">
        <f t="shared" si="1"/>
        <v>4500</v>
      </c>
    </row>
    <row r="4">
      <c r="B4" s="17" t="s">
        <v>154</v>
      </c>
      <c r="C4" s="17">
        <v>25.0</v>
      </c>
      <c r="D4">
        <f>(100+130+155+180+205)/5</f>
        <v>154</v>
      </c>
      <c r="E4">
        <f t="shared" si="1"/>
        <v>3850</v>
      </c>
    </row>
    <row r="5">
      <c r="B5" s="17" t="s">
        <v>152</v>
      </c>
    </row>
    <row r="6">
      <c r="B6" s="17" t="s">
        <v>155</v>
      </c>
    </row>
    <row r="7">
      <c r="B7" s="17" t="s">
        <v>156</v>
      </c>
    </row>
    <row r="8">
      <c r="A8" s="17" t="s">
        <v>157</v>
      </c>
      <c r="B8" s="17" t="s">
        <v>158</v>
      </c>
    </row>
    <row r="9">
      <c r="B9" s="17" t="s">
        <v>153</v>
      </c>
    </row>
    <row r="10">
      <c r="B10" s="17" t="s">
        <v>154</v>
      </c>
    </row>
    <row r="15">
      <c r="A15" s="17" t="s">
        <v>159</v>
      </c>
    </row>
    <row r="17">
      <c r="A17" s="24" t="s">
        <v>160</v>
      </c>
      <c r="B17" s="17" t="s">
        <v>161</v>
      </c>
      <c r="C17" s="17">
        <v>24.0</v>
      </c>
      <c r="D17">
        <f>405*0.7</f>
        <v>283.5</v>
      </c>
      <c r="E17">
        <f t="shared" ref="E17:E20" si="2">D17*C17</f>
        <v>6804</v>
      </c>
    </row>
    <row r="18">
      <c r="A18">
        <f>SUM(E17:E20)</f>
        <v>15228</v>
      </c>
      <c r="B18" s="17" t="s">
        <v>162</v>
      </c>
      <c r="C18" s="17">
        <v>24.0</v>
      </c>
      <c r="D18" s="17">
        <v>25.0</v>
      </c>
      <c r="E18">
        <f t="shared" si="2"/>
        <v>600</v>
      </c>
    </row>
    <row r="19">
      <c r="B19" s="17" t="s">
        <v>155</v>
      </c>
      <c r="C19" s="17">
        <v>24.0</v>
      </c>
      <c r="D19">
        <f>180*0.7</f>
        <v>126</v>
      </c>
      <c r="E19">
        <f t="shared" si="2"/>
        <v>3024</v>
      </c>
    </row>
    <row r="20">
      <c r="B20" s="17" t="s">
        <v>163</v>
      </c>
      <c r="C20" s="17">
        <v>24.0</v>
      </c>
      <c r="D20" s="17">
        <v>200.0</v>
      </c>
      <c r="E20">
        <f t="shared" si="2"/>
        <v>4800</v>
      </c>
    </row>
  </sheetData>
  <drawing r:id="rId1"/>
</worksheet>
</file>